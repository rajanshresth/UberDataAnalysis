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c734965fe160bd/Desktop/UberDA/"/>
    </mc:Choice>
  </mc:AlternateContent>
  <xr:revisionPtr revIDLastSave="0" documentId="8_{CE6ECB8C-97F3-43A2-A596-A7F3E12C9410}" xr6:coauthVersionLast="47" xr6:coauthVersionMax="47" xr10:uidLastSave="{00000000-0000-0000-0000-000000000000}"/>
  <bookViews>
    <workbookView xWindow="-110" yWindow="-110" windowWidth="19420" windowHeight="11020" activeTab="1" xr2:uid="{F7DABAA9-045C-4D67-9B15-227C9B1E869E}"/>
  </bookViews>
  <sheets>
    <sheet name="Peak Hours" sheetId="4" r:id="rId1"/>
    <sheet name="Purpose&amp;Miles" sheetId="6" r:id="rId2"/>
    <sheet name="UberDataset" sheetId="1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2" i="1"/>
</calcChain>
</file>

<file path=xl/sharedStrings.xml><?xml version="1.0" encoding="utf-8"?>
<sst xmlns="http://schemas.openxmlformats.org/spreadsheetml/2006/main" count="4148" uniqueCount="239">
  <si>
    <t>START_DATE</t>
  </si>
  <si>
    <t>END_DATE</t>
  </si>
  <si>
    <t>CATEGORY</t>
  </si>
  <si>
    <t>START</t>
  </si>
  <si>
    <t>STOP</t>
  </si>
  <si>
    <t>MILES</t>
  </si>
  <si>
    <t>PURPOSE</t>
  </si>
  <si>
    <t>Business</t>
  </si>
  <si>
    <t>Fort Pierce</t>
  </si>
  <si>
    <t>Meal/Entertain</t>
  </si>
  <si>
    <t>Errand/Supplies</t>
  </si>
  <si>
    <t>Meeting</t>
  </si>
  <si>
    <t>West Palm Beach</t>
  </si>
  <si>
    <t>Customer Visit</t>
  </si>
  <si>
    <t>Palm Beach</t>
  </si>
  <si>
    <t>Cary</t>
  </si>
  <si>
    <t>Morrisville</t>
  </si>
  <si>
    <t>Jamaica</t>
  </si>
  <si>
    <t>New York</t>
  </si>
  <si>
    <t>Queens</t>
  </si>
  <si>
    <t>Elmhurst</t>
  </si>
  <si>
    <t>Midtown</t>
  </si>
  <si>
    <t>East Harlem</t>
  </si>
  <si>
    <t>NoMad</t>
  </si>
  <si>
    <t>Temporary Site</t>
  </si>
  <si>
    <t>Flatiron District</t>
  </si>
  <si>
    <t>Midtown East</t>
  </si>
  <si>
    <t>Hudson Square</t>
  </si>
  <si>
    <t>Lower Manhattan</t>
  </si>
  <si>
    <t>Hell's Kitchen</t>
  </si>
  <si>
    <t>Queens County</t>
  </si>
  <si>
    <t>Downtown</t>
  </si>
  <si>
    <t>Gulfton</t>
  </si>
  <si>
    <t>Houston</t>
  </si>
  <si>
    <t>Eagan Park</t>
  </si>
  <si>
    <t>Jamestown Court</t>
  </si>
  <si>
    <t>Durham</t>
  </si>
  <si>
    <t>Farmington Woods</t>
  </si>
  <si>
    <t>Whitebridge</t>
  </si>
  <si>
    <t>Lake Wellingborough</t>
  </si>
  <si>
    <t>Raleigh</t>
  </si>
  <si>
    <t>Fayetteville Street</t>
  </si>
  <si>
    <t>Umstead</t>
  </si>
  <si>
    <t>Hazelwood</t>
  </si>
  <si>
    <t>Westpark Place</t>
  </si>
  <si>
    <t>Fairmont</t>
  </si>
  <si>
    <t>Meredith Townes</t>
  </si>
  <si>
    <t>Leesville Hollow</t>
  </si>
  <si>
    <t>Apex</t>
  </si>
  <si>
    <t>Chapel Hill</t>
  </si>
  <si>
    <t>Northwoods</t>
  </si>
  <si>
    <t>Williamsburg Manor</t>
  </si>
  <si>
    <t>Macgregor Downs</t>
  </si>
  <si>
    <t>Between Offices</t>
  </si>
  <si>
    <t>Edgehill Farms</t>
  </si>
  <si>
    <t>Personal</t>
  </si>
  <si>
    <t>Tanglewood</t>
  </si>
  <si>
    <t>Preston</t>
  </si>
  <si>
    <t>Eastgate</t>
  </si>
  <si>
    <t>Walnut Terrace</t>
  </si>
  <si>
    <t>East Elmhurst</t>
  </si>
  <si>
    <t>Jackson Heights</t>
  </si>
  <si>
    <t>Midtown West</t>
  </si>
  <si>
    <t>Long Island City</t>
  </si>
  <si>
    <t>Katunayaka</t>
  </si>
  <si>
    <t>Unknown Location</t>
  </si>
  <si>
    <t>Colombo</t>
  </si>
  <si>
    <t>Nugegoda</t>
  </si>
  <si>
    <t>Islamabad</t>
  </si>
  <si>
    <t>R?walpindi</t>
  </si>
  <si>
    <t>Noorpur Shahan</t>
  </si>
  <si>
    <t>Heritage Pines</t>
  </si>
  <si>
    <t>Waverly Place</t>
  </si>
  <si>
    <t>Wayne Ridge</t>
  </si>
  <si>
    <t>Depot Historic District</t>
  </si>
  <si>
    <t>Weston</t>
  </si>
  <si>
    <t>East Austin</t>
  </si>
  <si>
    <t>West University</t>
  </si>
  <si>
    <t>South Congress</t>
  </si>
  <si>
    <t>Arts District</t>
  </si>
  <si>
    <t>The Drag</t>
  </si>
  <si>
    <t>Congress Ave District</t>
  </si>
  <si>
    <t>Red River District</t>
  </si>
  <si>
    <t>Convention Center District</t>
  </si>
  <si>
    <t>North Austin</t>
  </si>
  <si>
    <t>Georgian Acres</t>
  </si>
  <si>
    <t>Coxville</t>
  </si>
  <si>
    <t>Austin</t>
  </si>
  <si>
    <t>Katy</t>
  </si>
  <si>
    <t>Alief</t>
  </si>
  <si>
    <t>Sharpstown</t>
  </si>
  <si>
    <t>Sugar Land</t>
  </si>
  <si>
    <t>Galveston</t>
  </si>
  <si>
    <t>Port Bolivar</t>
  </si>
  <si>
    <t>Washington Avenue</t>
  </si>
  <si>
    <t>Briar Meadow</t>
  </si>
  <si>
    <t>Greater Greenspoint</t>
  </si>
  <si>
    <t>Latta</t>
  </si>
  <si>
    <t>Jacksonville</t>
  </si>
  <si>
    <t>Kissimmee</t>
  </si>
  <si>
    <t>Couples Glen</t>
  </si>
  <si>
    <t>Isles of Buena Vista</t>
  </si>
  <si>
    <t>Orlando</t>
  </si>
  <si>
    <t>Lake Reams</t>
  </si>
  <si>
    <t>Vista East</t>
  </si>
  <si>
    <t>Sand Lake Commons</t>
  </si>
  <si>
    <t>Sky Lake</t>
  </si>
  <si>
    <t>Daytona Beach</t>
  </si>
  <si>
    <t>Ridgeland</t>
  </si>
  <si>
    <t>Florence</t>
  </si>
  <si>
    <t>Meredith</t>
  </si>
  <si>
    <t>Cedar Hill</t>
  </si>
  <si>
    <t>Holly Springs</t>
  </si>
  <si>
    <t>Harden Place</t>
  </si>
  <si>
    <t>Chessington</t>
  </si>
  <si>
    <t>Burtrose</t>
  </si>
  <si>
    <t>Parkway</t>
  </si>
  <si>
    <t>Mcvan</t>
  </si>
  <si>
    <t>Capitol One</t>
  </si>
  <si>
    <t>University District</t>
  </si>
  <si>
    <t>Seattle</t>
  </si>
  <si>
    <t>Redmond</t>
  </si>
  <si>
    <t>Bellevue</t>
  </si>
  <si>
    <t>San Francisco</t>
  </si>
  <si>
    <t>Palo Alto</t>
  </si>
  <si>
    <t>Sunnyvale</t>
  </si>
  <si>
    <t>Newark</t>
  </si>
  <si>
    <t>Menlo Park</t>
  </si>
  <si>
    <t>Old City</t>
  </si>
  <si>
    <t>Parkway Museums</t>
  </si>
  <si>
    <t>Hog Island</t>
  </si>
  <si>
    <t>Savon Height</t>
  </si>
  <si>
    <t>Kildaire Farms</t>
  </si>
  <si>
    <t>Kilarney Woods</t>
  </si>
  <si>
    <t>Townes at Everett Crossing</t>
  </si>
  <si>
    <t>Huntington Woods</t>
  </si>
  <si>
    <t>Seaport</t>
  </si>
  <si>
    <t>Gramercy-Flatiron</t>
  </si>
  <si>
    <t>Medical Centre</t>
  </si>
  <si>
    <t>Tudor City</t>
  </si>
  <si>
    <t>Rose Hill</t>
  </si>
  <si>
    <t>Soho</t>
  </si>
  <si>
    <t>Tribeca</t>
  </si>
  <si>
    <t>Financial District</t>
  </si>
  <si>
    <t>Kips Bay</t>
  </si>
  <si>
    <t>Oakland</t>
  </si>
  <si>
    <t>Emeryville</t>
  </si>
  <si>
    <t>Berkeley</t>
  </si>
  <si>
    <t>Bay Farm Island</t>
  </si>
  <si>
    <t>Kenner</t>
  </si>
  <si>
    <t>New Orleans</t>
  </si>
  <si>
    <t>CBD</t>
  </si>
  <si>
    <t>Lower Garden District</t>
  </si>
  <si>
    <t>Lakeview</t>
  </si>
  <si>
    <t>Storyville</t>
  </si>
  <si>
    <t>Faubourg Marigny</t>
  </si>
  <si>
    <t>Metairie</t>
  </si>
  <si>
    <t>Bywater</t>
  </si>
  <si>
    <t>Chalmette</t>
  </si>
  <si>
    <t>Arabi</t>
  </si>
  <si>
    <t>Pontchartrain Shores</t>
  </si>
  <si>
    <t>Marigny</t>
  </si>
  <si>
    <t>Covington</t>
  </si>
  <si>
    <t>Mandeville</t>
  </si>
  <si>
    <t>Summerwinds</t>
  </si>
  <si>
    <t>Parkwood</t>
  </si>
  <si>
    <t>Pontchartrain Beach</t>
  </si>
  <si>
    <t>St Thomas</t>
  </si>
  <si>
    <t>Banner Elk</t>
  </si>
  <si>
    <t>Elk Park</t>
  </si>
  <si>
    <t>Newland</t>
  </si>
  <si>
    <t>Boone</t>
  </si>
  <si>
    <t>Charity ($)</t>
  </si>
  <si>
    <t>Commute</t>
  </si>
  <si>
    <t>Moving</t>
  </si>
  <si>
    <t>Stonewater</t>
  </si>
  <si>
    <t>Lexington Park at Amberly</t>
  </si>
  <si>
    <t>Arlington Park at Amberly</t>
  </si>
  <si>
    <t>Arlington</t>
  </si>
  <si>
    <t>Washington</t>
  </si>
  <si>
    <t>Kalorama Triangle</t>
  </si>
  <si>
    <t>K Street</t>
  </si>
  <si>
    <t>West End</t>
  </si>
  <si>
    <t>Northwest Rectangle</t>
  </si>
  <si>
    <t>Connecticut Avenue</t>
  </si>
  <si>
    <t>Columbia Heights</t>
  </si>
  <si>
    <t>Wake Forest</t>
  </si>
  <si>
    <t>Airport/Travel</t>
  </si>
  <si>
    <t>Lahore</t>
  </si>
  <si>
    <t>Karachi</t>
  </si>
  <si>
    <t>SOMISSPO</t>
  </si>
  <si>
    <t>French Quarter</t>
  </si>
  <si>
    <t>West Berkeley</t>
  </si>
  <si>
    <t>North Berkeley Hills</t>
  </si>
  <si>
    <t>Southside</t>
  </si>
  <si>
    <t>San Jose</t>
  </si>
  <si>
    <t>Eagle Rock</t>
  </si>
  <si>
    <t>Winston Salem</t>
  </si>
  <si>
    <t>Asheville</t>
  </si>
  <si>
    <t>Topton</t>
  </si>
  <si>
    <t>Hayesville</t>
  </si>
  <si>
    <t>Bryson City</t>
  </si>
  <si>
    <t>Almond</t>
  </si>
  <si>
    <t>Mebane</t>
  </si>
  <si>
    <t>Santa Clara</t>
  </si>
  <si>
    <t>Agnew</t>
  </si>
  <si>
    <t>Cory</t>
  </si>
  <si>
    <t>Renaissance</t>
  </si>
  <si>
    <t>Central</t>
  </si>
  <si>
    <t>NOMA</t>
  </si>
  <si>
    <t>Sunnyside</t>
  </si>
  <si>
    <t>Ingleside</t>
  </si>
  <si>
    <t>Potrero Flats</t>
  </si>
  <si>
    <t>Tenderloin</t>
  </si>
  <si>
    <t>College Avenue</t>
  </si>
  <si>
    <t>South</t>
  </si>
  <si>
    <t>Southwest Berkeley</t>
  </si>
  <si>
    <t>South Berkeley</t>
  </si>
  <si>
    <t>Mountain View</t>
  </si>
  <si>
    <t>El Cerrito</t>
  </si>
  <si>
    <t>Krendle Woods</t>
  </si>
  <si>
    <t>Wake Co.</t>
  </si>
  <si>
    <t>Fuquay-Varina</t>
  </si>
  <si>
    <t>Rawalpindi</t>
  </si>
  <si>
    <t>Kar?chi</t>
  </si>
  <si>
    <t>Katunayake</t>
  </si>
  <si>
    <t>Gampaha</t>
  </si>
  <si>
    <t>Ilukwatta</t>
  </si>
  <si>
    <t>Totals</t>
  </si>
  <si>
    <t>Grand Total</t>
  </si>
  <si>
    <t>(blank)</t>
  </si>
  <si>
    <t>Pickup_Hour</t>
  </si>
  <si>
    <t>Pickup_Date</t>
  </si>
  <si>
    <t>Day of Week</t>
  </si>
  <si>
    <t>(All)</t>
  </si>
  <si>
    <t>Hours</t>
  </si>
  <si>
    <t>Ride Count</t>
  </si>
  <si>
    <t>Purpose</t>
  </si>
  <si>
    <t xml:space="preserve">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</si>
</sst>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9" formatCode="m/d/yyyy"/>
    </dxf>
    <dxf>
      <numFmt numFmtId="27" formatCode="m/d/yyyy\ h:mm"/>
    </dxf>
    <dxf>
      <numFmt numFmtId="27" formatCode="m/d/yyyy\ h:m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[UberDataset.csv.xlsx]Peak Hours!PivotTable4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'Peak Hours'!$B$3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99278215223097"/>
                  <c:y val="-0.26133566637503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'Peak Hours'!$A$4:$A$27</c:f>
              <c:strCach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'Peak Hours'!$B$4:$B$27</c:f>
              <c:numCache>
                <c:formatCode>General</c:formatCode>
                <c:ptCount val="23"/>
                <c:pt idx="0">
                  <c:v>19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13</c:v>
                </c:pt>
                <c:pt idx="7">
                  <c:v>35</c:v>
                </c:pt>
                <c:pt idx="8">
                  <c:v>51</c:v>
                </c:pt>
                <c:pt idx="9">
                  <c:v>65</c:v>
                </c:pt>
                <c:pt idx="10">
                  <c:v>72</c:v>
                </c:pt>
                <c:pt idx="11">
                  <c:v>77</c:v>
                </c:pt>
                <c:pt idx="12">
                  <c:v>94</c:v>
                </c:pt>
                <c:pt idx="13">
                  <c:v>89</c:v>
                </c:pt>
                <c:pt idx="14">
                  <c:v>98</c:v>
                </c:pt>
                <c:pt idx="15">
                  <c:v>88</c:v>
                </c:pt>
                <c:pt idx="16">
                  <c:v>95</c:v>
                </c:pt>
                <c:pt idx="17">
                  <c:v>94</c:v>
                </c:pt>
                <c:pt idx="18">
                  <c:v>68</c:v>
                </c:pt>
                <c:pt idx="19">
                  <c:v>71</c:v>
                </c:pt>
                <c:pt idx="20">
                  <c:v>51</c:v>
                </c:pt>
                <c:pt idx="21">
                  <c:v>31</c:v>
                </c:pt>
                <c:pt idx="2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3-436C-948E-BF12FBFF1B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530578624"/>
        <c:axId val="530581504"/>
      </c:barChart>
      <c:catAx>
        <c:axId val="53057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81504"/>
        <c:crosses val="autoZero"/>
        <c:auto val="1"/>
        <c:lblAlgn val="ctr"/>
        <c:lblOffset val="100"/>
        <c:noMultiLvlLbl val="0"/>
      </c:catAx>
      <c:valAx>
        <c:axId val="53058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7862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[UberDataset.csv.xlsx]Purpose&amp;Miles!PivotTable5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Purpose &amp; 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'Purpose&amp;Miles'!$B$3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4117235345581804E-2"/>
                  <c:y val="-0.420893117526975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'Purpose&amp;Miles'!$A$4:$A$15</c:f>
              <c:strCache>
                <c:ptCount val="11"/>
                <c:pt idx="0">
                  <c:v>Airport/Travel</c:v>
                </c:pt>
                <c:pt idx="1">
                  <c:v>Between Offices</c:v>
                </c:pt>
                <c:pt idx="2">
                  <c:v>Charity ($)</c:v>
                </c:pt>
                <c:pt idx="3">
                  <c:v>Commute</c:v>
                </c:pt>
                <c:pt idx="4">
                  <c:v>Customer Visit</c:v>
                </c:pt>
                <c:pt idx="5">
                  <c:v>Errand/Supplies</c:v>
                </c:pt>
                <c:pt idx="6">
                  <c:v>Meal/Entertain</c:v>
                </c:pt>
                <c:pt idx="7">
                  <c:v>Meeting</c:v>
                </c:pt>
                <c:pt idx="8">
                  <c:v>Moving</c:v>
                </c:pt>
                <c:pt idx="9">
                  <c:v>Temporary Site</c:v>
                </c:pt>
                <c:pt idx="10">
                  <c:v>(blank)</c:v>
                </c:pt>
              </c:strCache>
            </c:strRef>
          </c:cat>
          <c:val>
            <c:numRef>
              <c:f>'Purpose&amp;Miles'!$B$4:$B$15</c:f>
              <c:numCache>
                <c:formatCode>0.00</c:formatCode>
                <c:ptCount val="11"/>
                <c:pt idx="0">
                  <c:v>5.5</c:v>
                </c:pt>
                <c:pt idx="1">
                  <c:v>10.944444444444446</c:v>
                </c:pt>
                <c:pt idx="2">
                  <c:v>15.1</c:v>
                </c:pt>
                <c:pt idx="3">
                  <c:v>180.2</c:v>
                </c:pt>
                <c:pt idx="4">
                  <c:v>20.688118811881193</c:v>
                </c:pt>
                <c:pt idx="5">
                  <c:v>3.9687500000000004</c:v>
                </c:pt>
                <c:pt idx="6">
                  <c:v>5.6981250000000001</c:v>
                </c:pt>
                <c:pt idx="7">
                  <c:v>15.247593582887706</c:v>
                </c:pt>
                <c:pt idx="8">
                  <c:v>4.55</c:v>
                </c:pt>
                <c:pt idx="9">
                  <c:v>10.473999999999997</c:v>
                </c:pt>
                <c:pt idx="10">
                  <c:v>33.992445328031806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A-4F32-AC55-F2E71CCCD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901792"/>
        <c:axId val="576901312"/>
      </c:barChart>
      <c:catAx>
        <c:axId val="57690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01312"/>
        <c:crosses val="autoZero"/>
        <c:auto val="1"/>
        <c:lblAlgn val="ctr"/>
        <c:lblOffset val="100"/>
        <c:noMultiLvlLbl val="0"/>
      </c:catAx>
      <c:valAx>
        <c:axId val="5769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0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0</xdr:row>
      <xdr:rowOff>174624</xdr:rowOff>
    </xdr:from>
    <xdr:to>
      <xdr:col>11</xdr:col>
      <xdr:colOff>495300</xdr:colOff>
      <xdr:row>20</xdr:row>
      <xdr:rowOff>69849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B722C-511E-A5D1-2456-E928886F7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425450</xdr:colOff>
      <xdr:row>1</xdr:row>
      <xdr:rowOff>92075</xdr:rowOff>
    </xdr:from>
    <xdr:to>
      <xdr:col>6</xdr:col>
      <xdr:colOff>628650</xdr:colOff>
      <xdr:row>16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A2792-CBB1-12CF-D7B7-ECDF7DCE6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n Shrestha" refreshedDate="46021.642539351851" createdVersion="8" refreshedVersion="8" minRefreshableVersion="3" recordCount="1155" xr:uid="{89F66C51-D99E-4CB1-8BC5-5AD3FB6C1612}">
  <cacheSource type="worksheet">
    <worksheetSource name="Table2"/>
  </cacheSource>
  <cacheFields count="3">
    <cacheField name="Pickup_Hour" numFmtId="0">
      <sharedItems containsSemiMixedTypes="0" containsString="0" containsNumber="1" containsInteger="1" minValue="0" maxValue="23" count="23">
        <n v="21"/>
        <n v="1"/>
        <n v="20"/>
        <n v="17"/>
        <n v="14"/>
        <n v="13"/>
        <n v="8"/>
        <n v="12"/>
        <n v="15"/>
        <n v="18"/>
        <n v="19"/>
        <n v="11"/>
        <n v="16"/>
        <n v="0"/>
        <n v="9"/>
        <n v="10"/>
        <n v="23"/>
        <n v="3"/>
        <n v="7"/>
        <n v="5"/>
        <n v="22"/>
        <n v="6"/>
        <n v="2"/>
      </sharedItems>
    </cacheField>
    <cacheField name="Pickup_Date" numFmtId="14">
      <sharedItems containsSemiMixedTypes="0" containsNonDate="0" containsDate="1" containsString="0" minDate="2016-01-01T00:00:00" maxDate="2017-01-01T00:00:00"/>
    </cacheField>
    <cacheField name="Day of Week" numFmtId="0">
      <sharedItems count="7">
        <s v="Friday"/>
        <s v="Saturday"/>
        <s v="Tuesday"/>
        <s v="Wednesday"/>
        <s v="Thursday"/>
        <s v="Sunday"/>
        <s v="Mon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n Shrestha" refreshedDate="46021.649696990738" createdVersion="8" refreshedVersion="8" minRefreshableVersion="3" recordCount="1156" xr:uid="{A09A2059-B5CD-4FDD-96F5-04EC8F06B7AD}">
  <cacheSource type="worksheet">
    <worksheetSource name="Table1"/>
  </cacheSource>
  <cacheFields count="7">
    <cacheField name="START_DATE" numFmtId="0">
      <sharedItems containsDate="1" containsMixedTypes="1" minDate="2016-01-01T21:11:00" maxDate="2016-12-31T22:08:00"/>
    </cacheField>
    <cacheField name="END_DATE" numFmtId="0">
      <sharedItems containsNonDate="0" containsDate="1" containsString="0" containsBlank="1" minDate="2016-01-01T21:17:00" maxDate="2016-12-31T23:51:00"/>
    </cacheField>
    <cacheField name="CATEGORY" numFmtId="0">
      <sharedItems containsBlank="1"/>
    </cacheField>
    <cacheField name="START" numFmtId="0">
      <sharedItems containsBlank="1"/>
    </cacheField>
    <cacheField name="STOP" numFmtId="0">
      <sharedItems containsBlank="1"/>
    </cacheField>
    <cacheField name="MILES" numFmtId="0">
      <sharedItems containsSemiMixedTypes="0" containsString="0" containsNumber="1" minValue="0.5" maxValue="12204.7" count="257">
        <n v="5.0999999999999996"/>
        <n v="5"/>
        <n v="4.8"/>
        <n v="4.7"/>
        <n v="63.7"/>
        <n v="4.3"/>
        <n v="7.1"/>
        <n v="0.8"/>
        <n v="8.3000000000000007"/>
        <n v="16.5"/>
        <n v="10.8"/>
        <n v="7.5"/>
        <n v="6.2"/>
        <n v="6.4"/>
        <n v="1.6"/>
        <n v="1.7"/>
        <n v="1.9"/>
        <n v="4"/>
        <n v="1.8"/>
        <n v="2.4"/>
        <n v="2"/>
        <n v="15.1"/>
        <n v="11.2"/>
        <n v="11.8"/>
        <n v="21.9"/>
        <n v="3.9"/>
        <n v="8"/>
        <n v="10.4"/>
        <n v="7.2"/>
        <n v="7.6"/>
        <n v="17.100000000000001"/>
        <n v="40.200000000000003"/>
        <n v="1"/>
        <n v="2.2999999999999998"/>
        <n v="1.4"/>
        <n v="0.5"/>
        <n v="18.7"/>
        <n v="3.4"/>
        <n v="2.7"/>
        <n v="12.9"/>
        <n v="19"/>
        <n v="14.7"/>
        <n v="15.7"/>
        <n v="4.5999999999999996"/>
        <n v="5.2"/>
        <n v="10.1"/>
        <n v="5.8"/>
        <n v="5.5"/>
        <n v="5.7"/>
        <n v="19.399999999999999"/>
        <n v="23.3"/>
        <n v="6"/>
        <n v="9.6999999999999993"/>
        <n v="1.1000000000000001"/>
        <n v="9"/>
        <n v="7.7"/>
        <n v="11.4"/>
        <n v="3.2"/>
        <n v="5.6"/>
        <n v="6.1"/>
        <n v="5.3"/>
        <n v="3"/>
        <n v="1.5"/>
        <n v="17.3"/>
        <n v="13.5"/>
        <n v="8.5"/>
        <n v="2.6"/>
        <n v="17"/>
        <n v="18"/>
        <n v="8.4"/>
        <n v="11.5"/>
        <n v="8.9"/>
        <n v="8.1"/>
        <n v="13"/>
        <n v="13.9"/>
        <n v="43.7"/>
        <n v="14.1"/>
        <n v="4.5"/>
        <n v="3.6"/>
        <n v="21.4"/>
        <n v="23.5"/>
        <n v="12.7"/>
        <n v="10"/>
        <n v="18.3"/>
        <n v="7.3"/>
        <n v="3.5"/>
        <n v="4.2"/>
        <n v="13.6"/>
        <n v="2.5"/>
        <n v="14.4"/>
        <n v="18.399999999999999"/>
        <n v="23.1"/>
        <n v="14.5"/>
        <n v="8.8000000000000007"/>
        <n v="22.7"/>
        <n v="2.2000000000000002"/>
        <n v="20"/>
        <n v="3.1"/>
        <n v="6.3"/>
        <n v="10.6"/>
        <n v="9.9"/>
        <n v="6.8"/>
        <n v="2.1"/>
        <n v="3.8"/>
        <n v="6.6"/>
        <n v="10.9"/>
        <n v="4.9000000000000004"/>
        <n v="6.5"/>
        <n v="7.8"/>
        <n v="2.8"/>
        <n v="12.4"/>
        <n v="5.9"/>
        <n v="9.4"/>
        <n v="11.9"/>
        <n v="12.8"/>
        <n v="1.2"/>
        <n v="10.5"/>
        <n v="12.5"/>
        <n v="136"/>
        <n v="30.2"/>
        <n v="15.5"/>
        <n v="12.6"/>
        <n v="13.2"/>
        <n v="9.1999999999999993"/>
        <n v="12"/>
        <n v="35.1"/>
        <n v="36.5"/>
        <n v="57"/>
        <n v="9.6"/>
        <n v="0.9"/>
        <n v="25.6"/>
        <n v="23"/>
        <n v="144"/>
        <n v="310.3"/>
        <n v="201"/>
        <n v="6.7"/>
        <n v="6.9"/>
        <n v="27.2"/>
        <n v="25.7"/>
        <n v="13.8"/>
        <n v="28.8"/>
        <n v="16.100000000000001"/>
        <n v="16.399999999999999"/>
        <n v="11"/>
        <n v="20.3"/>
        <n v="0.7"/>
        <n v="77.3"/>
        <n v="80.5"/>
        <n v="174.2"/>
        <n v="159.30000000000001"/>
        <n v="7.9"/>
        <n v="8.6999999999999993"/>
        <n v="19.100000000000001"/>
        <n v="18.600000000000001"/>
        <n v="15.9"/>
        <n v="15.3"/>
        <n v="13.7"/>
        <n v="15.2"/>
        <n v="8.1999999999999993"/>
        <n v="22.5"/>
        <n v="32.799999999999997"/>
        <n v="14.2"/>
        <n v="18.2"/>
        <n v="2.9"/>
        <n v="20.5"/>
        <n v="9.8000000000000007"/>
        <n v="17.600000000000001"/>
        <n v="9.3000000000000007"/>
        <n v="11.3"/>
        <n v="14.9"/>
        <n v="14"/>
        <n v="3.3"/>
        <n v="22.3"/>
        <n v="16.3"/>
        <n v="3.7"/>
        <n v="11.6"/>
        <n v="15"/>
        <n v="12.2"/>
        <n v="19.3"/>
        <n v="16.600000000000001"/>
        <n v="8.6"/>
        <n v="46.9"/>
        <n v="30"/>
        <n v="4.4000000000000004"/>
        <n v="7.4"/>
        <n v="13.3"/>
        <n v="0.6"/>
        <n v="7"/>
        <n v="1.3"/>
        <n v="13.4"/>
        <n v="12.3"/>
        <n v="195.3"/>
        <n v="22.4"/>
        <n v="28.1"/>
        <n v="41.9"/>
        <n v="23.8"/>
        <n v="180.2"/>
        <n v="4.0999999999999996"/>
        <n v="9.1"/>
        <n v="9.5"/>
        <n v="14.6"/>
        <n v="17.399999999999999"/>
        <n v="31.7"/>
        <n v="31.9"/>
        <n v="15.6"/>
        <n v="25.9"/>
        <n v="16.2"/>
        <n v="12.1"/>
        <n v="20.2"/>
        <n v="17.7"/>
        <n v="25.2"/>
        <n v="96.2"/>
        <n v="35"/>
        <n v="50.4"/>
        <n v="86.6"/>
        <n v="156.9"/>
        <n v="17.2"/>
        <n v="69.099999999999994"/>
        <n v="195.6"/>
        <n v="37.700000000000003"/>
        <n v="16.7"/>
        <n v="28.6"/>
        <n v="17.899999999999999"/>
        <n v="112.6"/>
        <n v="33.200000000000003"/>
        <n v="20.6"/>
        <n v="47.7"/>
        <n v="44.6"/>
        <n v="28.2"/>
        <n v="15.4"/>
        <n v="107"/>
        <n v="133.6"/>
        <n v="91.8"/>
        <n v="40.700000000000003"/>
        <n v="75.7"/>
        <n v="29.8"/>
        <n v="68.400000000000006"/>
        <n v="195.9"/>
        <n v="45.2"/>
        <n v="10.3"/>
        <n v="13.1"/>
        <n v="43.9"/>
        <n v="45.9"/>
        <n v="36.6"/>
        <n v="43.6"/>
        <n v="5.4"/>
        <n v="39.200000000000003"/>
        <n v="18.5"/>
        <n v="11.1"/>
        <n v="18.899999999999999"/>
        <n v="10.199999999999999"/>
        <n v="103"/>
        <n v="32.299999999999997"/>
        <n v="23.2"/>
        <n v="10.7"/>
        <n v="48.2"/>
        <n v="12204.7"/>
      </sharedItems>
    </cacheField>
    <cacheField name="PURPOSE" numFmtId="0">
      <sharedItems containsBlank="1" count="11">
        <s v="Meal/Entertain"/>
        <m/>
        <s v="Errand/Supplies"/>
        <s v="Meeting"/>
        <s v="Customer Visit"/>
        <s v="Temporary Site"/>
        <s v="Between Offices"/>
        <s v="Charity ($)"/>
        <s v="Commute"/>
        <s v="Moving"/>
        <s v="Airport/Trave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5">
  <r>
    <x v="0"/>
    <d v="2016-01-01T00:00:00"/>
    <x v="0"/>
  </r>
  <r>
    <x v="1"/>
    <d v="2016-01-02T00:00:00"/>
    <x v="1"/>
  </r>
  <r>
    <x v="2"/>
    <d v="2016-01-02T00:00:00"/>
    <x v="1"/>
  </r>
  <r>
    <x v="3"/>
    <d v="2016-01-05T00:00:00"/>
    <x v="2"/>
  </r>
  <r>
    <x v="4"/>
    <d v="2016-01-06T00:00:00"/>
    <x v="3"/>
  </r>
  <r>
    <x v="3"/>
    <d v="2016-01-06T00:00:00"/>
    <x v="3"/>
  </r>
  <r>
    <x v="3"/>
    <d v="2016-01-06T00:00:00"/>
    <x v="3"/>
  </r>
  <r>
    <x v="5"/>
    <d v="2016-01-07T00:00:00"/>
    <x v="4"/>
  </r>
  <r>
    <x v="6"/>
    <d v="2016-01-10T00:00:00"/>
    <x v="5"/>
  </r>
  <r>
    <x v="7"/>
    <d v="2016-01-10T00:00:00"/>
    <x v="5"/>
  </r>
  <r>
    <x v="8"/>
    <d v="2016-01-10T00:00:00"/>
    <x v="5"/>
  </r>
  <r>
    <x v="9"/>
    <d v="2016-01-10T00:00:00"/>
    <x v="5"/>
  </r>
  <r>
    <x v="10"/>
    <d v="2016-01-10T00:00:00"/>
    <x v="5"/>
  </r>
  <r>
    <x v="6"/>
    <d v="2016-01-11T00:00:00"/>
    <x v="6"/>
  </r>
  <r>
    <x v="11"/>
    <d v="2016-01-11T00:00:00"/>
    <x v="6"/>
  </r>
  <r>
    <x v="5"/>
    <d v="2016-01-11T00:00:00"/>
    <x v="6"/>
  </r>
  <r>
    <x v="4"/>
    <d v="2016-01-11T00:00:00"/>
    <x v="6"/>
  </r>
  <r>
    <x v="7"/>
    <d v="2016-01-12T00:00:00"/>
    <x v="2"/>
  </r>
  <r>
    <x v="7"/>
    <d v="2016-01-12T00:00:00"/>
    <x v="2"/>
  </r>
  <r>
    <x v="4"/>
    <d v="2016-01-12T00:00:00"/>
    <x v="2"/>
  </r>
  <r>
    <x v="8"/>
    <d v="2016-01-12T00:00:00"/>
    <x v="2"/>
  </r>
  <r>
    <x v="8"/>
    <d v="2016-01-12T00:00:00"/>
    <x v="2"/>
  </r>
  <r>
    <x v="12"/>
    <d v="2016-01-12T00:00:00"/>
    <x v="2"/>
  </r>
  <r>
    <x v="5"/>
    <d v="2016-01-13T00:00:00"/>
    <x v="3"/>
  </r>
  <r>
    <x v="8"/>
    <d v="2016-01-13T00:00:00"/>
    <x v="3"/>
  </r>
  <r>
    <x v="12"/>
    <d v="2016-01-14T00:00:00"/>
    <x v="4"/>
  </r>
  <r>
    <x v="0"/>
    <d v="2016-01-14T00:00:00"/>
    <x v="4"/>
  </r>
  <r>
    <x v="13"/>
    <d v="2016-01-15T00:00:00"/>
    <x v="0"/>
  </r>
  <r>
    <x v="11"/>
    <d v="2016-01-15T00:00:00"/>
    <x v="0"/>
  </r>
  <r>
    <x v="5"/>
    <d v="2016-01-15T00:00:00"/>
    <x v="0"/>
  </r>
  <r>
    <x v="4"/>
    <d v="2016-01-18T00:00:00"/>
    <x v="6"/>
  </r>
  <r>
    <x v="12"/>
    <d v="2016-01-18T00:00:00"/>
    <x v="6"/>
  </r>
  <r>
    <x v="14"/>
    <d v="2016-01-19T00:00:00"/>
    <x v="2"/>
  </r>
  <r>
    <x v="15"/>
    <d v="2016-01-19T00:00:00"/>
    <x v="2"/>
  </r>
  <r>
    <x v="15"/>
    <d v="2016-01-20T00:00:00"/>
    <x v="3"/>
  </r>
  <r>
    <x v="11"/>
    <d v="2016-01-20T00:00:00"/>
    <x v="3"/>
  </r>
  <r>
    <x v="5"/>
    <d v="2016-01-20T00:00:00"/>
    <x v="3"/>
  </r>
  <r>
    <x v="4"/>
    <d v="2016-01-21T00:00:00"/>
    <x v="4"/>
  </r>
  <r>
    <x v="4"/>
    <d v="2016-01-21T00:00:00"/>
    <x v="4"/>
  </r>
  <r>
    <x v="12"/>
    <d v="2016-01-21T00:00:00"/>
    <x v="4"/>
  </r>
  <r>
    <x v="15"/>
    <d v="2016-01-26T00:00:00"/>
    <x v="2"/>
  </r>
  <r>
    <x v="7"/>
    <d v="2016-01-26T00:00:00"/>
    <x v="2"/>
  </r>
  <r>
    <x v="12"/>
    <d v="2016-01-26T00:00:00"/>
    <x v="2"/>
  </r>
  <r>
    <x v="3"/>
    <d v="2016-01-26T00:00:00"/>
    <x v="2"/>
  </r>
  <r>
    <x v="3"/>
    <d v="2016-01-26T00:00:00"/>
    <x v="2"/>
  </r>
  <r>
    <x v="14"/>
    <d v="2016-01-27T00:00:00"/>
    <x v="3"/>
  </r>
  <r>
    <x v="15"/>
    <d v="2016-01-27T00:00:00"/>
    <x v="3"/>
  </r>
  <r>
    <x v="7"/>
    <d v="2016-01-27T00:00:00"/>
    <x v="3"/>
  </r>
  <r>
    <x v="4"/>
    <d v="2016-01-27T00:00:00"/>
    <x v="3"/>
  </r>
  <r>
    <x v="4"/>
    <d v="2016-01-27T00:00:00"/>
    <x v="3"/>
  </r>
  <r>
    <x v="7"/>
    <d v="2016-01-28T00:00:00"/>
    <x v="4"/>
  </r>
  <r>
    <x v="8"/>
    <d v="2016-01-28T00:00:00"/>
    <x v="4"/>
  </r>
  <r>
    <x v="12"/>
    <d v="2016-01-28T00:00:00"/>
    <x v="4"/>
  </r>
  <r>
    <x v="14"/>
    <d v="2016-01-29T00:00:00"/>
    <x v="0"/>
  </r>
  <r>
    <x v="15"/>
    <d v="2016-01-29T00:00:00"/>
    <x v="0"/>
  </r>
  <r>
    <x v="11"/>
    <d v="2016-01-29T00:00:00"/>
    <x v="0"/>
  </r>
  <r>
    <x v="5"/>
    <d v="2016-01-29T00:00:00"/>
    <x v="0"/>
  </r>
  <r>
    <x v="9"/>
    <d v="2016-01-29T00:00:00"/>
    <x v="0"/>
  </r>
  <r>
    <x v="0"/>
    <d v="2016-01-29T00:00:00"/>
    <x v="0"/>
  </r>
  <r>
    <x v="12"/>
    <d v="2016-01-30T00:00:00"/>
    <x v="1"/>
  </r>
  <r>
    <x v="9"/>
    <d v="2016-01-30T00:00:00"/>
    <x v="1"/>
  </r>
  <r>
    <x v="15"/>
    <d v="2016-02-01T00:00:00"/>
    <x v="6"/>
  </r>
  <r>
    <x v="7"/>
    <d v="2016-02-01T00:00:00"/>
    <x v="6"/>
  </r>
  <r>
    <x v="7"/>
    <d v="2016-02-01T00:00:00"/>
    <x v="6"/>
  </r>
  <r>
    <x v="5"/>
    <d v="2016-02-02T00:00:00"/>
    <x v="2"/>
  </r>
  <r>
    <x v="5"/>
    <d v="2016-02-02T00:00:00"/>
    <x v="2"/>
  </r>
  <r>
    <x v="4"/>
    <d v="2016-02-02T00:00:00"/>
    <x v="2"/>
  </r>
  <r>
    <x v="6"/>
    <d v="2016-02-04T00:00:00"/>
    <x v="4"/>
  </r>
  <r>
    <x v="14"/>
    <d v="2016-02-04T00:00:00"/>
    <x v="4"/>
  </r>
  <r>
    <x v="15"/>
    <d v="2016-02-04T00:00:00"/>
    <x v="4"/>
  </r>
  <r>
    <x v="8"/>
    <d v="2016-02-04T00:00:00"/>
    <x v="4"/>
  </r>
  <r>
    <x v="12"/>
    <d v="2016-02-04T00:00:00"/>
    <x v="4"/>
  </r>
  <r>
    <x v="9"/>
    <d v="2016-02-04T00:00:00"/>
    <x v="4"/>
  </r>
  <r>
    <x v="2"/>
    <d v="2016-02-04T00:00:00"/>
    <x v="4"/>
  </r>
  <r>
    <x v="11"/>
    <d v="2016-02-05T00:00:00"/>
    <x v="0"/>
  </r>
  <r>
    <x v="5"/>
    <d v="2016-02-05T00:00:00"/>
    <x v="0"/>
  </r>
  <r>
    <x v="12"/>
    <d v="2016-02-06T00:00:00"/>
    <x v="1"/>
  </r>
  <r>
    <x v="9"/>
    <d v="2016-02-06T00:00:00"/>
    <x v="1"/>
  </r>
  <r>
    <x v="10"/>
    <d v="2016-02-06T00:00:00"/>
    <x v="1"/>
  </r>
  <r>
    <x v="12"/>
    <d v="2016-02-07T00:00:00"/>
    <x v="5"/>
  </r>
  <r>
    <x v="9"/>
    <d v="2016-02-07T00:00:00"/>
    <x v="5"/>
  </r>
  <r>
    <x v="9"/>
    <d v="2016-02-07T00:00:00"/>
    <x v="5"/>
  </r>
  <r>
    <x v="2"/>
    <d v="2016-02-07T00:00:00"/>
    <x v="5"/>
  </r>
  <r>
    <x v="7"/>
    <d v="2016-02-08T00:00:00"/>
    <x v="6"/>
  </r>
  <r>
    <x v="4"/>
    <d v="2016-02-08T00:00:00"/>
    <x v="6"/>
  </r>
  <r>
    <x v="15"/>
    <d v="2016-02-09T00:00:00"/>
    <x v="2"/>
  </r>
  <r>
    <x v="11"/>
    <d v="2016-02-09T00:00:00"/>
    <x v="2"/>
  </r>
  <r>
    <x v="5"/>
    <d v="2016-02-09T00:00:00"/>
    <x v="2"/>
  </r>
  <r>
    <x v="5"/>
    <d v="2016-02-09T00:00:00"/>
    <x v="2"/>
  </r>
  <r>
    <x v="9"/>
    <d v="2016-02-09T00:00:00"/>
    <x v="2"/>
  </r>
  <r>
    <x v="2"/>
    <d v="2016-02-09T00:00:00"/>
    <x v="2"/>
  </r>
  <r>
    <x v="12"/>
    <d v="2016-02-11T00:00:00"/>
    <x v="4"/>
  </r>
  <r>
    <x v="3"/>
    <d v="2016-02-11T00:00:00"/>
    <x v="4"/>
  </r>
  <r>
    <x v="9"/>
    <d v="2016-02-11T00:00:00"/>
    <x v="4"/>
  </r>
  <r>
    <x v="2"/>
    <d v="2016-02-11T00:00:00"/>
    <x v="4"/>
  </r>
  <r>
    <x v="6"/>
    <d v="2016-02-12T00:00:00"/>
    <x v="0"/>
  </r>
  <r>
    <x v="15"/>
    <d v="2016-02-12T00:00:00"/>
    <x v="0"/>
  </r>
  <r>
    <x v="11"/>
    <d v="2016-02-12T00:00:00"/>
    <x v="0"/>
  </r>
  <r>
    <x v="5"/>
    <d v="2016-02-12T00:00:00"/>
    <x v="0"/>
  </r>
  <r>
    <x v="4"/>
    <d v="2016-02-12T00:00:00"/>
    <x v="0"/>
  </r>
  <r>
    <x v="8"/>
    <d v="2016-02-12T00:00:00"/>
    <x v="0"/>
  </r>
  <r>
    <x v="4"/>
    <d v="2016-02-13T00:00:00"/>
    <x v="1"/>
  </r>
  <r>
    <x v="16"/>
    <d v="2016-02-13T00:00:00"/>
    <x v="1"/>
  </r>
  <r>
    <x v="13"/>
    <d v="2016-02-14T00:00:00"/>
    <x v="5"/>
  </r>
  <r>
    <x v="4"/>
    <d v="2016-02-14T00:00:00"/>
    <x v="5"/>
  </r>
  <r>
    <x v="4"/>
    <d v="2016-02-14T00:00:00"/>
    <x v="5"/>
  </r>
  <r>
    <x v="12"/>
    <d v="2016-02-14T00:00:00"/>
    <x v="5"/>
  </r>
  <r>
    <x v="3"/>
    <d v="2016-02-14T00:00:00"/>
    <x v="5"/>
  </r>
  <r>
    <x v="17"/>
    <d v="2016-02-16T00:00:00"/>
    <x v="2"/>
  </r>
  <r>
    <x v="6"/>
    <d v="2016-02-16T00:00:00"/>
    <x v="2"/>
  </r>
  <r>
    <x v="15"/>
    <d v="2016-02-16T00:00:00"/>
    <x v="2"/>
  </r>
  <r>
    <x v="11"/>
    <d v="2016-02-16T00:00:00"/>
    <x v="2"/>
  </r>
  <r>
    <x v="7"/>
    <d v="2016-02-16T00:00:00"/>
    <x v="2"/>
  </r>
  <r>
    <x v="5"/>
    <d v="2016-02-16T00:00:00"/>
    <x v="2"/>
  </r>
  <r>
    <x v="12"/>
    <d v="2016-02-16T00:00:00"/>
    <x v="2"/>
  </r>
  <r>
    <x v="3"/>
    <d v="2016-02-16T00:00:00"/>
    <x v="2"/>
  </r>
  <r>
    <x v="3"/>
    <d v="2016-02-16T00:00:00"/>
    <x v="2"/>
  </r>
  <r>
    <x v="5"/>
    <d v="2016-02-17T00:00:00"/>
    <x v="3"/>
  </r>
  <r>
    <x v="8"/>
    <d v="2016-02-17T00:00:00"/>
    <x v="3"/>
  </r>
  <r>
    <x v="8"/>
    <d v="2016-02-17T00:00:00"/>
    <x v="3"/>
  </r>
  <r>
    <x v="12"/>
    <d v="2016-02-17T00:00:00"/>
    <x v="3"/>
  </r>
  <r>
    <x v="6"/>
    <d v="2016-02-18T00:00:00"/>
    <x v="4"/>
  </r>
  <r>
    <x v="4"/>
    <d v="2016-02-18T00:00:00"/>
    <x v="4"/>
  </r>
  <r>
    <x v="8"/>
    <d v="2016-02-18T00:00:00"/>
    <x v="4"/>
  </r>
  <r>
    <x v="9"/>
    <d v="2016-02-18T00:00:00"/>
    <x v="4"/>
  </r>
  <r>
    <x v="10"/>
    <d v="2016-02-18T00:00:00"/>
    <x v="4"/>
  </r>
  <r>
    <x v="14"/>
    <d v="2016-02-19T00:00:00"/>
    <x v="0"/>
  </r>
  <r>
    <x v="14"/>
    <d v="2016-02-19T00:00:00"/>
    <x v="0"/>
  </r>
  <r>
    <x v="15"/>
    <d v="2016-02-19T00:00:00"/>
    <x v="0"/>
  </r>
  <r>
    <x v="11"/>
    <d v="2016-02-19T00:00:00"/>
    <x v="0"/>
  </r>
  <r>
    <x v="11"/>
    <d v="2016-02-19T00:00:00"/>
    <x v="0"/>
  </r>
  <r>
    <x v="7"/>
    <d v="2016-02-19T00:00:00"/>
    <x v="0"/>
  </r>
  <r>
    <x v="12"/>
    <d v="2016-02-19T00:00:00"/>
    <x v="0"/>
  </r>
  <r>
    <x v="3"/>
    <d v="2016-02-19T00:00:00"/>
    <x v="0"/>
  </r>
  <r>
    <x v="2"/>
    <d v="2016-02-19T00:00:00"/>
    <x v="0"/>
  </r>
  <r>
    <x v="2"/>
    <d v="2016-02-19T00:00:00"/>
    <x v="0"/>
  </r>
  <r>
    <x v="18"/>
    <d v="2016-02-20T00:00:00"/>
    <x v="1"/>
  </r>
  <r>
    <x v="15"/>
    <d v="2016-02-20T00:00:00"/>
    <x v="1"/>
  </r>
  <r>
    <x v="11"/>
    <d v="2016-02-20T00:00:00"/>
    <x v="1"/>
  </r>
  <r>
    <x v="7"/>
    <d v="2016-02-20T00:00:00"/>
    <x v="1"/>
  </r>
  <r>
    <x v="4"/>
    <d v="2016-02-20T00:00:00"/>
    <x v="1"/>
  </r>
  <r>
    <x v="12"/>
    <d v="2016-02-20T00:00:00"/>
    <x v="1"/>
  </r>
  <r>
    <x v="9"/>
    <d v="2016-02-20T00:00:00"/>
    <x v="1"/>
  </r>
  <r>
    <x v="10"/>
    <d v="2016-02-20T00:00:00"/>
    <x v="1"/>
  </r>
  <r>
    <x v="14"/>
    <d v="2016-02-21T00:00:00"/>
    <x v="5"/>
  </r>
  <r>
    <x v="11"/>
    <d v="2016-02-21T00:00:00"/>
    <x v="5"/>
  </r>
  <r>
    <x v="11"/>
    <d v="2016-02-21T00:00:00"/>
    <x v="5"/>
  </r>
  <r>
    <x v="7"/>
    <d v="2016-02-21T00:00:00"/>
    <x v="5"/>
  </r>
  <r>
    <x v="7"/>
    <d v="2016-02-21T00:00:00"/>
    <x v="5"/>
  </r>
  <r>
    <x v="5"/>
    <d v="2016-02-21T00:00:00"/>
    <x v="5"/>
  </r>
  <r>
    <x v="4"/>
    <d v="2016-02-21T00:00:00"/>
    <x v="5"/>
  </r>
  <r>
    <x v="8"/>
    <d v="2016-02-21T00:00:00"/>
    <x v="5"/>
  </r>
  <r>
    <x v="8"/>
    <d v="2016-02-21T00:00:00"/>
    <x v="5"/>
  </r>
  <r>
    <x v="12"/>
    <d v="2016-02-21T00:00:00"/>
    <x v="5"/>
  </r>
  <r>
    <x v="16"/>
    <d v="2016-02-21T00:00:00"/>
    <x v="5"/>
  </r>
  <r>
    <x v="0"/>
    <d v="2016-02-22T00:00:00"/>
    <x v="6"/>
  </r>
  <r>
    <x v="4"/>
    <d v="2016-02-24T00:00:00"/>
    <x v="3"/>
  </r>
  <r>
    <x v="8"/>
    <d v="2016-02-24T00:00:00"/>
    <x v="3"/>
  </r>
  <r>
    <x v="12"/>
    <d v="2016-02-25T00:00:00"/>
    <x v="4"/>
  </r>
  <r>
    <x v="12"/>
    <d v="2016-02-25T00:00:00"/>
    <x v="4"/>
  </r>
  <r>
    <x v="3"/>
    <d v="2016-02-25T00:00:00"/>
    <x v="4"/>
  </r>
  <r>
    <x v="9"/>
    <d v="2016-02-25T00:00:00"/>
    <x v="4"/>
  </r>
  <r>
    <x v="14"/>
    <d v="2016-02-26T00:00:00"/>
    <x v="0"/>
  </r>
  <r>
    <x v="11"/>
    <d v="2016-02-26T00:00:00"/>
    <x v="0"/>
  </r>
  <r>
    <x v="11"/>
    <d v="2016-02-26T00:00:00"/>
    <x v="0"/>
  </r>
  <r>
    <x v="5"/>
    <d v="2016-02-26T00:00:00"/>
    <x v="0"/>
  </r>
  <r>
    <x v="4"/>
    <d v="2016-02-26T00:00:00"/>
    <x v="0"/>
  </r>
  <r>
    <x v="8"/>
    <d v="2016-02-26T00:00:00"/>
    <x v="0"/>
  </r>
  <r>
    <x v="3"/>
    <d v="2016-02-26T00:00:00"/>
    <x v="0"/>
  </r>
  <r>
    <x v="19"/>
    <d v="2016-02-28T00:00:00"/>
    <x v="5"/>
  </r>
  <r>
    <x v="14"/>
    <d v="2016-02-28T00:00:00"/>
    <x v="5"/>
  </r>
  <r>
    <x v="11"/>
    <d v="2016-02-29T00:00:00"/>
    <x v="6"/>
  </r>
  <r>
    <x v="11"/>
    <d v="2016-02-29T00:00:00"/>
    <x v="6"/>
  </r>
  <r>
    <x v="7"/>
    <d v="2016-02-29T00:00:00"/>
    <x v="6"/>
  </r>
  <r>
    <x v="4"/>
    <d v="2016-02-29T00:00:00"/>
    <x v="6"/>
  </r>
  <r>
    <x v="12"/>
    <d v="2016-02-29T00:00:00"/>
    <x v="6"/>
  </r>
  <r>
    <x v="9"/>
    <d v="2016-03-01T00:00:00"/>
    <x v="2"/>
  </r>
  <r>
    <x v="0"/>
    <d v="2016-03-01T00:00:00"/>
    <x v="2"/>
  </r>
  <r>
    <x v="14"/>
    <d v="2016-03-03T00:00:00"/>
    <x v="4"/>
  </r>
  <r>
    <x v="11"/>
    <d v="2016-03-03T00:00:00"/>
    <x v="4"/>
  </r>
  <r>
    <x v="4"/>
    <d v="2016-03-03T00:00:00"/>
    <x v="4"/>
  </r>
  <r>
    <x v="8"/>
    <d v="2016-03-03T00:00:00"/>
    <x v="4"/>
  </r>
  <r>
    <x v="12"/>
    <d v="2016-03-03T00:00:00"/>
    <x v="4"/>
  </r>
  <r>
    <x v="18"/>
    <d v="2016-03-04T00:00:00"/>
    <x v="0"/>
  </r>
  <r>
    <x v="14"/>
    <d v="2016-03-04T00:00:00"/>
    <x v="0"/>
  </r>
  <r>
    <x v="11"/>
    <d v="2016-03-04T00:00:00"/>
    <x v="0"/>
  </r>
  <r>
    <x v="5"/>
    <d v="2016-03-04T00:00:00"/>
    <x v="0"/>
  </r>
  <r>
    <x v="5"/>
    <d v="2016-03-04T00:00:00"/>
    <x v="0"/>
  </r>
  <r>
    <x v="8"/>
    <d v="2016-03-04T00:00:00"/>
    <x v="0"/>
  </r>
  <r>
    <x v="12"/>
    <d v="2016-03-04T00:00:00"/>
    <x v="0"/>
  </r>
  <r>
    <x v="12"/>
    <d v="2016-03-04T00:00:00"/>
    <x v="0"/>
  </r>
  <r>
    <x v="10"/>
    <d v="2016-03-04T00:00:00"/>
    <x v="0"/>
  </r>
  <r>
    <x v="10"/>
    <d v="2016-03-04T00:00:00"/>
    <x v="0"/>
  </r>
  <r>
    <x v="11"/>
    <d v="2016-03-05T00:00:00"/>
    <x v="1"/>
  </r>
  <r>
    <x v="7"/>
    <d v="2016-03-05T00:00:00"/>
    <x v="1"/>
  </r>
  <r>
    <x v="4"/>
    <d v="2016-03-05T00:00:00"/>
    <x v="1"/>
  </r>
  <r>
    <x v="4"/>
    <d v="2016-03-05T00:00:00"/>
    <x v="1"/>
  </r>
  <r>
    <x v="12"/>
    <d v="2016-03-05T00:00:00"/>
    <x v="1"/>
  </r>
  <r>
    <x v="3"/>
    <d v="2016-03-05T00:00:00"/>
    <x v="1"/>
  </r>
  <r>
    <x v="14"/>
    <d v="2016-03-07T00:00:00"/>
    <x v="6"/>
  </r>
  <r>
    <x v="14"/>
    <d v="2016-03-07T00:00:00"/>
    <x v="6"/>
  </r>
  <r>
    <x v="7"/>
    <d v="2016-03-07T00:00:00"/>
    <x v="6"/>
  </r>
  <r>
    <x v="5"/>
    <d v="2016-03-07T00:00:00"/>
    <x v="6"/>
  </r>
  <r>
    <x v="8"/>
    <d v="2016-03-07T00:00:00"/>
    <x v="6"/>
  </r>
  <r>
    <x v="4"/>
    <d v="2016-03-08T00:00:00"/>
    <x v="2"/>
  </r>
  <r>
    <x v="8"/>
    <d v="2016-03-08T00:00:00"/>
    <x v="2"/>
  </r>
  <r>
    <x v="12"/>
    <d v="2016-03-08T00:00:00"/>
    <x v="2"/>
  </r>
  <r>
    <x v="17"/>
    <d v="2016-03-10T00:00:00"/>
    <x v="4"/>
  </r>
  <r>
    <x v="15"/>
    <d v="2016-03-10T00:00:00"/>
    <x v="4"/>
  </r>
  <r>
    <x v="4"/>
    <d v="2016-03-10T00:00:00"/>
    <x v="4"/>
  </r>
  <r>
    <x v="12"/>
    <d v="2016-03-10T00:00:00"/>
    <x v="4"/>
  </r>
  <r>
    <x v="14"/>
    <d v="2016-03-11T00:00:00"/>
    <x v="0"/>
  </r>
  <r>
    <x v="15"/>
    <d v="2016-03-11T00:00:00"/>
    <x v="0"/>
  </r>
  <r>
    <x v="11"/>
    <d v="2016-03-11T00:00:00"/>
    <x v="0"/>
  </r>
  <r>
    <x v="5"/>
    <d v="2016-03-11T00:00:00"/>
    <x v="0"/>
  </r>
  <r>
    <x v="10"/>
    <d v="2016-03-11T00:00:00"/>
    <x v="0"/>
  </r>
  <r>
    <x v="14"/>
    <d v="2016-03-12T00:00:00"/>
    <x v="1"/>
  </r>
  <r>
    <x v="9"/>
    <d v="2016-03-12T00:00:00"/>
    <x v="1"/>
  </r>
  <r>
    <x v="14"/>
    <d v="2016-03-13T00:00:00"/>
    <x v="5"/>
  </r>
  <r>
    <x v="9"/>
    <d v="2016-03-13T00:00:00"/>
    <x v="5"/>
  </r>
  <r>
    <x v="2"/>
    <d v="2016-03-13T00:00:00"/>
    <x v="5"/>
  </r>
  <r>
    <x v="2"/>
    <d v="2016-03-13T00:00:00"/>
    <x v="5"/>
  </r>
  <r>
    <x v="0"/>
    <d v="2016-03-13T00:00:00"/>
    <x v="5"/>
  </r>
  <r>
    <x v="20"/>
    <d v="2016-03-13T00:00:00"/>
    <x v="5"/>
  </r>
  <r>
    <x v="6"/>
    <d v="2016-03-14T00:00:00"/>
    <x v="6"/>
  </r>
  <r>
    <x v="9"/>
    <d v="2016-03-14T00:00:00"/>
    <x v="6"/>
  </r>
  <r>
    <x v="6"/>
    <d v="2016-03-15T00:00:00"/>
    <x v="2"/>
  </r>
  <r>
    <x v="2"/>
    <d v="2016-03-15T00:00:00"/>
    <x v="2"/>
  </r>
  <r>
    <x v="11"/>
    <d v="2016-03-16T00:00:00"/>
    <x v="3"/>
  </r>
  <r>
    <x v="4"/>
    <d v="2016-03-16T00:00:00"/>
    <x v="3"/>
  </r>
  <r>
    <x v="9"/>
    <d v="2016-03-16T00:00:00"/>
    <x v="3"/>
  </r>
  <r>
    <x v="13"/>
    <d v="2016-03-17T00:00:00"/>
    <x v="4"/>
  </r>
  <r>
    <x v="7"/>
    <d v="2016-03-17T00:00:00"/>
    <x v="4"/>
  </r>
  <r>
    <x v="8"/>
    <d v="2016-03-17T00:00:00"/>
    <x v="4"/>
  </r>
  <r>
    <x v="3"/>
    <d v="2016-03-17T00:00:00"/>
    <x v="4"/>
  </r>
  <r>
    <x v="9"/>
    <d v="2016-03-17T00:00:00"/>
    <x v="4"/>
  </r>
  <r>
    <x v="2"/>
    <d v="2016-03-17T00:00:00"/>
    <x v="4"/>
  </r>
  <r>
    <x v="0"/>
    <d v="2016-03-17T00:00:00"/>
    <x v="4"/>
  </r>
  <r>
    <x v="18"/>
    <d v="2016-03-18T00:00:00"/>
    <x v="0"/>
  </r>
  <r>
    <x v="6"/>
    <d v="2016-03-18T00:00:00"/>
    <x v="0"/>
  </r>
  <r>
    <x v="9"/>
    <d v="2016-03-18T00:00:00"/>
    <x v="0"/>
  </r>
  <r>
    <x v="10"/>
    <d v="2016-03-18T00:00:00"/>
    <x v="0"/>
  </r>
  <r>
    <x v="0"/>
    <d v="2016-03-18T00:00:00"/>
    <x v="0"/>
  </r>
  <r>
    <x v="14"/>
    <d v="2016-03-19T00:00:00"/>
    <x v="1"/>
  </r>
  <r>
    <x v="7"/>
    <d v="2016-03-19T00:00:00"/>
    <x v="1"/>
  </r>
  <r>
    <x v="4"/>
    <d v="2016-03-19T00:00:00"/>
    <x v="1"/>
  </r>
  <r>
    <x v="8"/>
    <d v="2016-03-19T00:00:00"/>
    <x v="1"/>
  </r>
  <r>
    <x v="3"/>
    <d v="2016-03-19T00:00:00"/>
    <x v="1"/>
  </r>
  <r>
    <x v="3"/>
    <d v="2016-03-19T00:00:00"/>
    <x v="1"/>
  </r>
  <r>
    <x v="3"/>
    <d v="2016-03-19T00:00:00"/>
    <x v="1"/>
  </r>
  <r>
    <x v="9"/>
    <d v="2016-03-19T00:00:00"/>
    <x v="1"/>
  </r>
  <r>
    <x v="10"/>
    <d v="2016-03-19T00:00:00"/>
    <x v="1"/>
  </r>
  <r>
    <x v="18"/>
    <d v="2016-03-20T00:00:00"/>
    <x v="5"/>
  </r>
  <r>
    <x v="11"/>
    <d v="2016-03-20T00:00:00"/>
    <x v="5"/>
  </r>
  <r>
    <x v="3"/>
    <d v="2016-03-20T00:00:00"/>
    <x v="5"/>
  </r>
  <r>
    <x v="9"/>
    <d v="2016-03-20T00:00:00"/>
    <x v="5"/>
  </r>
  <r>
    <x v="9"/>
    <d v="2016-03-20T00:00:00"/>
    <x v="5"/>
  </r>
  <r>
    <x v="15"/>
    <d v="2016-03-21T00:00:00"/>
    <x v="6"/>
  </r>
  <r>
    <x v="12"/>
    <d v="2016-03-21T00:00:00"/>
    <x v="6"/>
  </r>
  <r>
    <x v="9"/>
    <d v="2016-03-21T00:00:00"/>
    <x v="6"/>
  </r>
  <r>
    <x v="2"/>
    <d v="2016-03-21T00:00:00"/>
    <x v="6"/>
  </r>
  <r>
    <x v="21"/>
    <d v="2016-03-22T00:00:00"/>
    <x v="2"/>
  </r>
  <r>
    <x v="7"/>
    <d v="2016-03-22T00:00:00"/>
    <x v="2"/>
  </r>
  <r>
    <x v="10"/>
    <d v="2016-03-22T00:00:00"/>
    <x v="2"/>
  </r>
  <r>
    <x v="4"/>
    <d v="2016-03-23T00:00:00"/>
    <x v="3"/>
  </r>
  <r>
    <x v="4"/>
    <d v="2016-03-23T00:00:00"/>
    <x v="3"/>
  </r>
  <r>
    <x v="10"/>
    <d v="2016-03-24T00:00:00"/>
    <x v="4"/>
  </r>
  <r>
    <x v="2"/>
    <d v="2016-03-24T00:00:00"/>
    <x v="4"/>
  </r>
  <r>
    <x v="5"/>
    <d v="2016-03-25T00:00:00"/>
    <x v="0"/>
  </r>
  <r>
    <x v="12"/>
    <d v="2016-03-25T00:00:00"/>
    <x v="0"/>
  </r>
  <r>
    <x v="20"/>
    <d v="2016-03-25T00:00:00"/>
    <x v="0"/>
  </r>
  <r>
    <x v="4"/>
    <d v="2016-03-26T00:00:00"/>
    <x v="1"/>
  </r>
  <r>
    <x v="8"/>
    <d v="2016-03-26T00:00:00"/>
    <x v="1"/>
  </r>
  <r>
    <x v="12"/>
    <d v="2016-03-26T00:00:00"/>
    <x v="1"/>
  </r>
  <r>
    <x v="13"/>
    <d v="2016-03-27T00:00:00"/>
    <x v="5"/>
  </r>
  <r>
    <x v="1"/>
    <d v="2016-03-27T00:00:00"/>
    <x v="5"/>
  </r>
  <r>
    <x v="8"/>
    <d v="2016-03-27T00:00:00"/>
    <x v="5"/>
  </r>
  <r>
    <x v="0"/>
    <d v="2016-03-27T00:00:00"/>
    <x v="5"/>
  </r>
  <r>
    <x v="16"/>
    <d v="2016-03-27T00:00:00"/>
    <x v="5"/>
  </r>
  <r>
    <x v="7"/>
    <d v="2016-03-28T00:00:00"/>
    <x v="6"/>
  </r>
  <r>
    <x v="10"/>
    <d v="2016-03-28T00:00:00"/>
    <x v="6"/>
  </r>
  <r>
    <x v="20"/>
    <d v="2016-03-28T00:00:00"/>
    <x v="6"/>
  </r>
  <r>
    <x v="8"/>
    <d v="2016-03-29T00:00:00"/>
    <x v="2"/>
  </r>
  <r>
    <x v="9"/>
    <d v="2016-03-29T00:00:00"/>
    <x v="2"/>
  </r>
  <r>
    <x v="2"/>
    <d v="2016-03-29T00:00:00"/>
    <x v="2"/>
  </r>
  <r>
    <x v="16"/>
    <d v="2016-03-29T00:00:00"/>
    <x v="2"/>
  </r>
  <r>
    <x v="20"/>
    <d v="2016-03-30T00:00:00"/>
    <x v="3"/>
  </r>
  <r>
    <x v="7"/>
    <d v="2016-03-31T00:00:00"/>
    <x v="4"/>
  </r>
  <r>
    <x v="4"/>
    <d v="2016-03-31T00:00:00"/>
    <x v="4"/>
  </r>
  <r>
    <x v="5"/>
    <d v="2016-04-01T00:00:00"/>
    <x v="0"/>
  </r>
  <r>
    <x v="4"/>
    <d v="2016-04-01T00:00:00"/>
    <x v="0"/>
  </r>
  <r>
    <x v="12"/>
    <d v="2016-04-01T00:00:00"/>
    <x v="0"/>
  </r>
  <r>
    <x v="12"/>
    <d v="2016-04-01T00:00:00"/>
    <x v="0"/>
  </r>
  <r>
    <x v="6"/>
    <d v="2016-04-02T00:00:00"/>
    <x v="1"/>
  </r>
  <r>
    <x v="11"/>
    <d v="2016-04-02T00:00:00"/>
    <x v="1"/>
  </r>
  <r>
    <x v="7"/>
    <d v="2016-04-02T00:00:00"/>
    <x v="1"/>
  </r>
  <r>
    <x v="12"/>
    <d v="2016-04-02T00:00:00"/>
    <x v="1"/>
  </r>
  <r>
    <x v="10"/>
    <d v="2016-04-02T00:00:00"/>
    <x v="1"/>
  </r>
  <r>
    <x v="16"/>
    <d v="2016-04-02T00:00:00"/>
    <x v="1"/>
  </r>
  <r>
    <x v="22"/>
    <d v="2016-04-03T00:00:00"/>
    <x v="5"/>
  </r>
  <r>
    <x v="0"/>
    <d v="2016-04-05T00:00:00"/>
    <x v="2"/>
  </r>
  <r>
    <x v="13"/>
    <d v="2016-04-06T00:00:00"/>
    <x v="3"/>
  </r>
  <r>
    <x v="9"/>
    <d v="2016-04-07T00:00:00"/>
    <x v="4"/>
  </r>
  <r>
    <x v="10"/>
    <d v="2016-04-07T00:00:00"/>
    <x v="4"/>
  </r>
  <r>
    <x v="7"/>
    <d v="2016-04-08T00:00:00"/>
    <x v="0"/>
  </r>
  <r>
    <x v="5"/>
    <d v="2016-04-08T00:00:00"/>
    <x v="0"/>
  </r>
  <r>
    <x v="5"/>
    <d v="2016-04-08T00:00:00"/>
    <x v="0"/>
  </r>
  <r>
    <x v="4"/>
    <d v="2016-04-08T00:00:00"/>
    <x v="0"/>
  </r>
  <r>
    <x v="12"/>
    <d v="2016-04-08T00:00:00"/>
    <x v="0"/>
  </r>
  <r>
    <x v="14"/>
    <d v="2016-04-12T00:00:00"/>
    <x v="2"/>
  </r>
  <r>
    <x v="14"/>
    <d v="2016-04-12T00:00:00"/>
    <x v="2"/>
  </r>
  <r>
    <x v="15"/>
    <d v="2016-04-12T00:00:00"/>
    <x v="2"/>
  </r>
  <r>
    <x v="7"/>
    <d v="2016-04-12T00:00:00"/>
    <x v="2"/>
  </r>
  <r>
    <x v="5"/>
    <d v="2016-04-12T00:00:00"/>
    <x v="2"/>
  </r>
  <r>
    <x v="18"/>
    <d v="2016-04-14T00:00:00"/>
    <x v="4"/>
  </r>
  <r>
    <x v="12"/>
    <d v="2016-04-14T00:00:00"/>
    <x v="4"/>
  </r>
  <r>
    <x v="11"/>
    <d v="2016-04-15T00:00:00"/>
    <x v="0"/>
  </r>
  <r>
    <x v="7"/>
    <d v="2016-04-15T00:00:00"/>
    <x v="0"/>
  </r>
  <r>
    <x v="4"/>
    <d v="2016-04-15T00:00:00"/>
    <x v="0"/>
  </r>
  <r>
    <x v="7"/>
    <d v="2016-04-16T00:00:00"/>
    <x v="1"/>
  </r>
  <r>
    <x v="8"/>
    <d v="2016-04-16T00:00:00"/>
    <x v="1"/>
  </r>
  <r>
    <x v="3"/>
    <d v="2016-04-19T00:00:00"/>
    <x v="2"/>
  </r>
  <r>
    <x v="10"/>
    <d v="2016-04-19T00:00:00"/>
    <x v="2"/>
  </r>
  <r>
    <x v="6"/>
    <d v="2016-04-22T00:00:00"/>
    <x v="0"/>
  </r>
  <r>
    <x v="15"/>
    <d v="2016-04-22T00:00:00"/>
    <x v="0"/>
  </r>
  <r>
    <x v="7"/>
    <d v="2016-04-22T00:00:00"/>
    <x v="0"/>
  </r>
  <r>
    <x v="5"/>
    <d v="2016-04-22T00:00:00"/>
    <x v="0"/>
  </r>
  <r>
    <x v="3"/>
    <d v="2016-04-23T00:00:00"/>
    <x v="1"/>
  </r>
  <r>
    <x v="9"/>
    <d v="2016-04-23T00:00:00"/>
    <x v="1"/>
  </r>
  <r>
    <x v="10"/>
    <d v="2016-04-24T00:00:00"/>
    <x v="5"/>
  </r>
  <r>
    <x v="10"/>
    <d v="2016-04-24T00:00:00"/>
    <x v="5"/>
  </r>
  <r>
    <x v="0"/>
    <d v="2016-04-24T00:00:00"/>
    <x v="5"/>
  </r>
  <r>
    <x v="5"/>
    <d v="2016-04-27T00:00:00"/>
    <x v="3"/>
  </r>
  <r>
    <x v="4"/>
    <d v="2016-04-27T00:00:00"/>
    <x v="3"/>
  </r>
  <r>
    <x v="7"/>
    <d v="2016-04-28T00:00:00"/>
    <x v="4"/>
  </r>
  <r>
    <x v="5"/>
    <d v="2016-04-28T00:00:00"/>
    <x v="4"/>
  </r>
  <r>
    <x v="20"/>
    <d v="2016-04-28T00:00:00"/>
    <x v="4"/>
  </r>
  <r>
    <x v="11"/>
    <d v="2016-04-29T00:00:00"/>
    <x v="0"/>
  </r>
  <r>
    <x v="5"/>
    <d v="2016-04-29T00:00:00"/>
    <x v="0"/>
  </r>
  <r>
    <x v="9"/>
    <d v="2016-04-29T00:00:00"/>
    <x v="0"/>
  </r>
  <r>
    <x v="20"/>
    <d v="2016-04-29T00:00:00"/>
    <x v="0"/>
  </r>
  <r>
    <x v="9"/>
    <d v="2016-04-30T00:00:00"/>
    <x v="1"/>
  </r>
  <r>
    <x v="20"/>
    <d v="2016-04-30T00:00:00"/>
    <x v="1"/>
  </r>
  <r>
    <x v="5"/>
    <d v="2016-05-01T00:00:00"/>
    <x v="5"/>
  </r>
  <r>
    <x v="4"/>
    <d v="2016-05-01T00:00:00"/>
    <x v="5"/>
  </r>
  <r>
    <x v="3"/>
    <d v="2016-05-01T00:00:00"/>
    <x v="5"/>
  </r>
  <r>
    <x v="3"/>
    <d v="2016-05-01T00:00:00"/>
    <x v="5"/>
  </r>
  <r>
    <x v="20"/>
    <d v="2016-05-01T00:00:00"/>
    <x v="5"/>
  </r>
  <r>
    <x v="4"/>
    <d v="2016-05-02T00:00:00"/>
    <x v="6"/>
  </r>
  <r>
    <x v="8"/>
    <d v="2016-05-02T00:00:00"/>
    <x v="6"/>
  </r>
  <r>
    <x v="20"/>
    <d v="2016-05-03T00:00:00"/>
    <x v="2"/>
  </r>
  <r>
    <x v="8"/>
    <d v="2016-05-04T00:00:00"/>
    <x v="3"/>
  </r>
  <r>
    <x v="2"/>
    <d v="2016-05-04T00:00:00"/>
    <x v="3"/>
  </r>
  <r>
    <x v="0"/>
    <d v="2016-05-04T00:00:00"/>
    <x v="3"/>
  </r>
  <r>
    <x v="20"/>
    <d v="2016-05-04T00:00:00"/>
    <x v="3"/>
  </r>
  <r>
    <x v="0"/>
    <d v="2016-05-05T00:00:00"/>
    <x v="4"/>
  </r>
  <r>
    <x v="20"/>
    <d v="2016-05-05T00:00:00"/>
    <x v="4"/>
  </r>
  <r>
    <x v="16"/>
    <d v="2016-05-05T00:00:00"/>
    <x v="4"/>
  </r>
  <r>
    <x v="19"/>
    <d v="2016-05-06T00:00:00"/>
    <x v="0"/>
  </r>
  <r>
    <x v="12"/>
    <d v="2016-05-06T00:00:00"/>
    <x v="0"/>
  </r>
  <r>
    <x v="3"/>
    <d v="2016-05-06T00:00:00"/>
    <x v="0"/>
  </r>
  <r>
    <x v="21"/>
    <d v="2016-05-09T00:00:00"/>
    <x v="6"/>
  </r>
  <r>
    <x v="4"/>
    <d v="2016-05-09T00:00:00"/>
    <x v="6"/>
  </r>
  <r>
    <x v="3"/>
    <d v="2016-05-09T00:00:00"/>
    <x v="6"/>
  </r>
  <r>
    <x v="10"/>
    <d v="2016-05-09T00:00:00"/>
    <x v="6"/>
  </r>
  <r>
    <x v="14"/>
    <d v="2016-05-10T00:00:00"/>
    <x v="2"/>
  </r>
  <r>
    <x v="3"/>
    <d v="2016-05-10T00:00:00"/>
    <x v="2"/>
  </r>
  <r>
    <x v="6"/>
    <d v="2016-05-11T00:00:00"/>
    <x v="3"/>
  </r>
  <r>
    <x v="0"/>
    <d v="2016-05-11T00:00:00"/>
    <x v="3"/>
  </r>
  <r>
    <x v="9"/>
    <d v="2016-05-14T00:00:00"/>
    <x v="1"/>
  </r>
  <r>
    <x v="16"/>
    <d v="2016-05-14T00:00:00"/>
    <x v="1"/>
  </r>
  <r>
    <x v="5"/>
    <d v="2016-05-17T00:00:00"/>
    <x v="2"/>
  </r>
  <r>
    <x v="5"/>
    <d v="2016-05-17T00:00:00"/>
    <x v="2"/>
  </r>
  <r>
    <x v="4"/>
    <d v="2016-05-17T00:00:00"/>
    <x v="2"/>
  </r>
  <r>
    <x v="14"/>
    <d v="2016-05-18T00:00:00"/>
    <x v="3"/>
  </r>
  <r>
    <x v="5"/>
    <d v="2016-05-18T00:00:00"/>
    <x v="3"/>
  </r>
  <r>
    <x v="4"/>
    <d v="2016-05-19T00:00:00"/>
    <x v="4"/>
  </r>
  <r>
    <x v="15"/>
    <d v="2016-05-20T00:00:00"/>
    <x v="0"/>
  </r>
  <r>
    <x v="8"/>
    <d v="2016-05-20T00:00:00"/>
    <x v="0"/>
  </r>
  <r>
    <x v="8"/>
    <d v="2016-05-22T00:00:00"/>
    <x v="5"/>
  </r>
  <r>
    <x v="9"/>
    <d v="2016-05-22T00:00:00"/>
    <x v="5"/>
  </r>
  <r>
    <x v="2"/>
    <d v="2016-05-23T00:00:00"/>
    <x v="6"/>
  </r>
  <r>
    <x v="0"/>
    <d v="2016-05-23T00:00:00"/>
    <x v="6"/>
  </r>
  <r>
    <x v="2"/>
    <d v="2016-05-27T00:00:00"/>
    <x v="0"/>
  </r>
  <r>
    <x v="2"/>
    <d v="2016-05-27T00:00:00"/>
    <x v="0"/>
  </r>
  <r>
    <x v="20"/>
    <d v="2016-05-27T00:00:00"/>
    <x v="0"/>
  </r>
  <r>
    <x v="13"/>
    <d v="2016-05-28T00:00:00"/>
    <x v="1"/>
  </r>
  <r>
    <x v="7"/>
    <d v="2016-05-28T00:00:00"/>
    <x v="1"/>
  </r>
  <r>
    <x v="4"/>
    <d v="2016-05-28T00:00:00"/>
    <x v="1"/>
  </r>
  <r>
    <x v="5"/>
    <d v="2016-05-31T00:00:00"/>
    <x v="2"/>
  </r>
  <r>
    <x v="12"/>
    <d v="2016-05-31T00:00:00"/>
    <x v="2"/>
  </r>
  <r>
    <x v="3"/>
    <d v="2016-05-31T00:00:00"/>
    <x v="2"/>
  </r>
  <r>
    <x v="15"/>
    <d v="2016-06-01T00:00:00"/>
    <x v="3"/>
  </r>
  <r>
    <x v="5"/>
    <d v="2016-06-01T00:00:00"/>
    <x v="3"/>
  </r>
  <r>
    <x v="11"/>
    <d v="2016-06-03T00:00:00"/>
    <x v="0"/>
  </r>
  <r>
    <x v="5"/>
    <d v="2016-06-03T00:00:00"/>
    <x v="0"/>
  </r>
  <r>
    <x v="8"/>
    <d v="2016-06-03T00:00:00"/>
    <x v="0"/>
  </r>
  <r>
    <x v="9"/>
    <d v="2016-06-03T00:00:00"/>
    <x v="0"/>
  </r>
  <r>
    <x v="9"/>
    <d v="2016-06-03T00:00:00"/>
    <x v="0"/>
  </r>
  <r>
    <x v="10"/>
    <d v="2016-06-03T00:00:00"/>
    <x v="0"/>
  </r>
  <r>
    <x v="20"/>
    <d v="2016-06-03T00:00:00"/>
    <x v="0"/>
  </r>
  <r>
    <x v="4"/>
    <d v="2016-06-05T00:00:00"/>
    <x v="5"/>
  </r>
  <r>
    <x v="8"/>
    <d v="2016-06-05T00:00:00"/>
    <x v="5"/>
  </r>
  <r>
    <x v="8"/>
    <d v="2016-06-05T00:00:00"/>
    <x v="5"/>
  </r>
  <r>
    <x v="9"/>
    <d v="2016-06-05T00:00:00"/>
    <x v="5"/>
  </r>
  <r>
    <x v="0"/>
    <d v="2016-06-05T00:00:00"/>
    <x v="5"/>
  </r>
  <r>
    <x v="16"/>
    <d v="2016-06-05T00:00:00"/>
    <x v="5"/>
  </r>
  <r>
    <x v="8"/>
    <d v="2016-06-06T00:00:00"/>
    <x v="6"/>
  </r>
  <r>
    <x v="12"/>
    <d v="2016-06-06T00:00:00"/>
    <x v="6"/>
  </r>
  <r>
    <x v="2"/>
    <d v="2016-06-06T00:00:00"/>
    <x v="6"/>
  </r>
  <r>
    <x v="0"/>
    <d v="2016-06-06T00:00:00"/>
    <x v="6"/>
  </r>
  <r>
    <x v="0"/>
    <d v="2016-06-06T00:00:00"/>
    <x v="6"/>
  </r>
  <r>
    <x v="16"/>
    <d v="2016-06-06T00:00:00"/>
    <x v="6"/>
  </r>
  <r>
    <x v="0"/>
    <d v="2016-06-07T00:00:00"/>
    <x v="2"/>
  </r>
  <r>
    <x v="16"/>
    <d v="2016-06-07T00:00:00"/>
    <x v="2"/>
  </r>
  <r>
    <x v="6"/>
    <d v="2016-06-08T00:00:00"/>
    <x v="3"/>
  </r>
  <r>
    <x v="7"/>
    <d v="2016-06-08T00:00:00"/>
    <x v="3"/>
  </r>
  <r>
    <x v="5"/>
    <d v="2016-06-08T00:00:00"/>
    <x v="3"/>
  </r>
  <r>
    <x v="4"/>
    <d v="2016-06-08T00:00:00"/>
    <x v="3"/>
  </r>
  <r>
    <x v="12"/>
    <d v="2016-06-08T00:00:00"/>
    <x v="3"/>
  </r>
  <r>
    <x v="3"/>
    <d v="2016-06-08T00:00:00"/>
    <x v="3"/>
  </r>
  <r>
    <x v="3"/>
    <d v="2016-06-08T00:00:00"/>
    <x v="3"/>
  </r>
  <r>
    <x v="2"/>
    <d v="2016-06-08T00:00:00"/>
    <x v="3"/>
  </r>
  <r>
    <x v="8"/>
    <d v="2016-06-10T00:00:00"/>
    <x v="0"/>
  </r>
  <r>
    <x v="0"/>
    <d v="2016-06-10T00:00:00"/>
    <x v="0"/>
  </r>
  <r>
    <x v="16"/>
    <d v="2016-06-10T00:00:00"/>
    <x v="0"/>
  </r>
  <r>
    <x v="3"/>
    <d v="2016-06-11T00:00:00"/>
    <x v="1"/>
  </r>
  <r>
    <x v="3"/>
    <d v="2016-06-11T00:00:00"/>
    <x v="1"/>
  </r>
  <r>
    <x v="3"/>
    <d v="2016-06-11T00:00:00"/>
    <x v="1"/>
  </r>
  <r>
    <x v="0"/>
    <d v="2016-06-11T00:00:00"/>
    <x v="1"/>
  </r>
  <r>
    <x v="16"/>
    <d v="2016-06-11T00:00:00"/>
    <x v="1"/>
  </r>
  <r>
    <x v="10"/>
    <d v="2016-06-12T00:00:00"/>
    <x v="5"/>
  </r>
  <r>
    <x v="2"/>
    <d v="2016-06-12T00:00:00"/>
    <x v="5"/>
  </r>
  <r>
    <x v="0"/>
    <d v="2016-06-12T00:00:00"/>
    <x v="5"/>
  </r>
  <r>
    <x v="19"/>
    <d v="2016-06-13T00:00:00"/>
    <x v="6"/>
  </r>
  <r>
    <x v="4"/>
    <d v="2016-06-13T00:00:00"/>
    <x v="6"/>
  </r>
  <r>
    <x v="9"/>
    <d v="2016-06-13T00:00:00"/>
    <x v="6"/>
  </r>
  <r>
    <x v="9"/>
    <d v="2016-06-13T00:00:00"/>
    <x v="6"/>
  </r>
  <r>
    <x v="2"/>
    <d v="2016-06-13T00:00:00"/>
    <x v="6"/>
  </r>
  <r>
    <x v="7"/>
    <d v="2016-06-14T00:00:00"/>
    <x v="2"/>
  </r>
  <r>
    <x v="12"/>
    <d v="2016-06-14T00:00:00"/>
    <x v="2"/>
  </r>
  <r>
    <x v="3"/>
    <d v="2016-06-14T00:00:00"/>
    <x v="2"/>
  </r>
  <r>
    <x v="3"/>
    <d v="2016-06-14T00:00:00"/>
    <x v="2"/>
  </r>
  <r>
    <x v="1"/>
    <d v="2016-06-15T00:00:00"/>
    <x v="3"/>
  </r>
  <r>
    <x v="8"/>
    <d v="2016-06-15T00:00:00"/>
    <x v="3"/>
  </r>
  <r>
    <x v="12"/>
    <d v="2016-06-15T00:00:00"/>
    <x v="3"/>
  </r>
  <r>
    <x v="3"/>
    <d v="2016-06-15T00:00:00"/>
    <x v="3"/>
  </r>
  <r>
    <x v="10"/>
    <d v="2016-06-15T00:00:00"/>
    <x v="3"/>
  </r>
  <r>
    <x v="5"/>
    <d v="2016-06-16T00:00:00"/>
    <x v="4"/>
  </r>
  <r>
    <x v="4"/>
    <d v="2016-06-16T00:00:00"/>
    <x v="4"/>
  </r>
  <r>
    <x v="8"/>
    <d v="2016-06-16T00:00:00"/>
    <x v="4"/>
  </r>
  <r>
    <x v="10"/>
    <d v="2016-06-16T00:00:00"/>
    <x v="4"/>
  </r>
  <r>
    <x v="0"/>
    <d v="2016-06-16T00:00:00"/>
    <x v="4"/>
  </r>
  <r>
    <x v="12"/>
    <d v="2016-06-17T00:00:00"/>
    <x v="0"/>
  </r>
  <r>
    <x v="13"/>
    <d v="2016-06-18T00:00:00"/>
    <x v="1"/>
  </r>
  <r>
    <x v="22"/>
    <d v="2016-06-19T00:00:00"/>
    <x v="5"/>
  </r>
  <r>
    <x v="19"/>
    <d v="2016-06-19T00:00:00"/>
    <x v="5"/>
  </r>
  <r>
    <x v="8"/>
    <d v="2016-06-21T00:00:00"/>
    <x v="2"/>
  </r>
  <r>
    <x v="3"/>
    <d v="2016-06-21T00:00:00"/>
    <x v="2"/>
  </r>
  <r>
    <x v="15"/>
    <d v="2016-06-24T00:00:00"/>
    <x v="0"/>
  </r>
  <r>
    <x v="11"/>
    <d v="2016-06-24T00:00:00"/>
    <x v="0"/>
  </r>
  <r>
    <x v="7"/>
    <d v="2016-06-24T00:00:00"/>
    <x v="0"/>
  </r>
  <r>
    <x v="7"/>
    <d v="2016-06-24T00:00:00"/>
    <x v="0"/>
  </r>
  <r>
    <x v="5"/>
    <d v="2016-06-24T00:00:00"/>
    <x v="0"/>
  </r>
  <r>
    <x v="4"/>
    <d v="2016-06-24T00:00:00"/>
    <x v="0"/>
  </r>
  <r>
    <x v="2"/>
    <d v="2016-06-24T00:00:00"/>
    <x v="0"/>
  </r>
  <r>
    <x v="14"/>
    <d v="2016-06-25T00:00:00"/>
    <x v="1"/>
  </r>
  <r>
    <x v="14"/>
    <d v="2016-06-25T00:00:00"/>
    <x v="1"/>
  </r>
  <r>
    <x v="15"/>
    <d v="2016-06-25T00:00:00"/>
    <x v="1"/>
  </r>
  <r>
    <x v="15"/>
    <d v="2016-06-25T00:00:00"/>
    <x v="1"/>
  </r>
  <r>
    <x v="11"/>
    <d v="2016-06-25T00:00:00"/>
    <x v="1"/>
  </r>
  <r>
    <x v="11"/>
    <d v="2016-06-25T00:00:00"/>
    <x v="1"/>
  </r>
  <r>
    <x v="10"/>
    <d v="2016-06-25T00:00:00"/>
    <x v="1"/>
  </r>
  <r>
    <x v="16"/>
    <d v="2016-06-25T00:00:00"/>
    <x v="1"/>
  </r>
  <r>
    <x v="3"/>
    <d v="2016-06-26T00:00:00"/>
    <x v="5"/>
  </r>
  <r>
    <x v="9"/>
    <d v="2016-06-26T00:00:00"/>
    <x v="5"/>
  </r>
  <r>
    <x v="10"/>
    <d v="2016-06-26T00:00:00"/>
    <x v="5"/>
  </r>
  <r>
    <x v="0"/>
    <d v="2016-06-26T00:00:00"/>
    <x v="5"/>
  </r>
  <r>
    <x v="18"/>
    <d v="2016-06-27T00:00:00"/>
    <x v="6"/>
  </r>
  <r>
    <x v="6"/>
    <d v="2016-06-27T00:00:00"/>
    <x v="6"/>
  </r>
  <r>
    <x v="14"/>
    <d v="2016-06-27T00:00:00"/>
    <x v="6"/>
  </r>
  <r>
    <x v="14"/>
    <d v="2016-06-27T00:00:00"/>
    <x v="6"/>
  </r>
  <r>
    <x v="15"/>
    <d v="2016-06-27T00:00:00"/>
    <x v="6"/>
  </r>
  <r>
    <x v="15"/>
    <d v="2016-06-27T00:00:00"/>
    <x v="6"/>
  </r>
  <r>
    <x v="11"/>
    <d v="2016-06-27T00:00:00"/>
    <x v="6"/>
  </r>
  <r>
    <x v="11"/>
    <d v="2016-06-27T00:00:00"/>
    <x v="6"/>
  </r>
  <r>
    <x v="7"/>
    <d v="2016-06-27T00:00:00"/>
    <x v="6"/>
  </r>
  <r>
    <x v="5"/>
    <d v="2016-06-27T00:00:00"/>
    <x v="6"/>
  </r>
  <r>
    <x v="0"/>
    <d v="2016-06-27T00:00:00"/>
    <x v="6"/>
  </r>
  <r>
    <x v="13"/>
    <d v="2016-06-28T00:00:00"/>
    <x v="2"/>
  </r>
  <r>
    <x v="2"/>
    <d v="2016-06-28T00:00:00"/>
    <x v="2"/>
  </r>
  <r>
    <x v="16"/>
    <d v="2016-06-28T00:00:00"/>
    <x v="2"/>
  </r>
  <r>
    <x v="16"/>
    <d v="2016-06-28T00:00:00"/>
    <x v="2"/>
  </r>
  <r>
    <x v="6"/>
    <d v="2016-06-29T00:00:00"/>
    <x v="3"/>
  </r>
  <r>
    <x v="15"/>
    <d v="2016-06-29T00:00:00"/>
    <x v="3"/>
  </r>
  <r>
    <x v="11"/>
    <d v="2016-06-29T00:00:00"/>
    <x v="3"/>
  </r>
  <r>
    <x v="7"/>
    <d v="2016-06-29T00:00:00"/>
    <x v="3"/>
  </r>
  <r>
    <x v="2"/>
    <d v="2016-06-29T00:00:00"/>
    <x v="3"/>
  </r>
  <r>
    <x v="16"/>
    <d v="2016-06-29T00:00:00"/>
    <x v="3"/>
  </r>
  <r>
    <x v="2"/>
    <d v="2016-06-30T00:00:00"/>
    <x v="4"/>
  </r>
  <r>
    <x v="13"/>
    <d v="2016-07-01T00:00:00"/>
    <x v="0"/>
  </r>
  <r>
    <x v="14"/>
    <d v="2016-07-01T00:00:00"/>
    <x v="0"/>
  </r>
  <r>
    <x v="7"/>
    <d v="2016-07-01T00:00:00"/>
    <x v="0"/>
  </r>
  <r>
    <x v="2"/>
    <d v="2016-07-01T00:00:00"/>
    <x v="0"/>
  </r>
  <r>
    <x v="16"/>
    <d v="2016-07-01T00:00:00"/>
    <x v="0"/>
  </r>
  <r>
    <x v="2"/>
    <d v="2016-07-02T00:00:00"/>
    <x v="1"/>
  </r>
  <r>
    <x v="16"/>
    <d v="2016-07-02T00:00:00"/>
    <x v="1"/>
  </r>
  <r>
    <x v="13"/>
    <d v="2016-07-03T00:00:00"/>
    <x v="5"/>
  </r>
  <r>
    <x v="17"/>
    <d v="2016-07-03T00:00:00"/>
    <x v="5"/>
  </r>
  <r>
    <x v="2"/>
    <d v="2016-07-03T00:00:00"/>
    <x v="5"/>
  </r>
  <r>
    <x v="13"/>
    <d v="2016-07-04T00:00:00"/>
    <x v="6"/>
  </r>
  <r>
    <x v="3"/>
    <d v="2016-07-04T00:00:00"/>
    <x v="6"/>
  </r>
  <r>
    <x v="9"/>
    <d v="2016-07-04T00:00:00"/>
    <x v="6"/>
  </r>
  <r>
    <x v="2"/>
    <d v="2016-07-04T00:00:00"/>
    <x v="6"/>
  </r>
  <r>
    <x v="13"/>
    <d v="2016-07-05T00:00:00"/>
    <x v="2"/>
  </r>
  <r>
    <x v="13"/>
    <d v="2016-07-05T00:00:00"/>
    <x v="2"/>
  </r>
  <r>
    <x v="12"/>
    <d v="2016-07-05T00:00:00"/>
    <x v="2"/>
  </r>
  <r>
    <x v="2"/>
    <d v="2016-07-05T00:00:00"/>
    <x v="2"/>
  </r>
  <r>
    <x v="20"/>
    <d v="2016-07-05T00:00:00"/>
    <x v="2"/>
  </r>
  <r>
    <x v="13"/>
    <d v="2016-07-06T00:00:00"/>
    <x v="3"/>
  </r>
  <r>
    <x v="14"/>
    <d v="2016-07-06T00:00:00"/>
    <x v="3"/>
  </r>
  <r>
    <x v="7"/>
    <d v="2016-07-06T00:00:00"/>
    <x v="3"/>
  </r>
  <r>
    <x v="2"/>
    <d v="2016-07-06T00:00:00"/>
    <x v="3"/>
  </r>
  <r>
    <x v="16"/>
    <d v="2016-07-06T00:00:00"/>
    <x v="3"/>
  </r>
  <r>
    <x v="6"/>
    <d v="2016-07-07T00:00:00"/>
    <x v="4"/>
  </r>
  <r>
    <x v="15"/>
    <d v="2016-07-07T00:00:00"/>
    <x v="4"/>
  </r>
  <r>
    <x v="7"/>
    <d v="2016-07-07T00:00:00"/>
    <x v="4"/>
  </r>
  <r>
    <x v="14"/>
    <d v="2016-07-08T00:00:00"/>
    <x v="0"/>
  </r>
  <r>
    <x v="15"/>
    <d v="2016-07-08T00:00:00"/>
    <x v="0"/>
  </r>
  <r>
    <x v="5"/>
    <d v="2016-07-08T00:00:00"/>
    <x v="0"/>
  </r>
  <r>
    <x v="3"/>
    <d v="2016-07-08T00:00:00"/>
    <x v="0"/>
  </r>
  <r>
    <x v="14"/>
    <d v="2016-07-09T00:00:00"/>
    <x v="1"/>
  </r>
  <r>
    <x v="14"/>
    <d v="2016-07-09T00:00:00"/>
    <x v="1"/>
  </r>
  <r>
    <x v="15"/>
    <d v="2016-07-09T00:00:00"/>
    <x v="1"/>
  </r>
  <r>
    <x v="4"/>
    <d v="2016-07-10T00:00:00"/>
    <x v="5"/>
  </r>
  <r>
    <x v="12"/>
    <d v="2016-07-10T00:00:00"/>
    <x v="5"/>
  </r>
  <r>
    <x v="9"/>
    <d v="2016-07-10T00:00:00"/>
    <x v="5"/>
  </r>
  <r>
    <x v="10"/>
    <d v="2016-07-10T00:00:00"/>
    <x v="5"/>
  </r>
  <r>
    <x v="12"/>
    <d v="2016-07-12T00:00:00"/>
    <x v="2"/>
  </r>
  <r>
    <x v="10"/>
    <d v="2016-07-12T00:00:00"/>
    <x v="2"/>
  </r>
  <r>
    <x v="16"/>
    <d v="2016-07-12T00:00:00"/>
    <x v="2"/>
  </r>
  <r>
    <x v="7"/>
    <d v="2016-07-13T00:00:00"/>
    <x v="3"/>
  </r>
  <r>
    <x v="5"/>
    <d v="2016-07-13T00:00:00"/>
    <x v="3"/>
  </r>
  <r>
    <x v="5"/>
    <d v="2016-07-13T00:00:00"/>
    <x v="3"/>
  </r>
  <r>
    <x v="8"/>
    <d v="2016-07-14T00:00:00"/>
    <x v="4"/>
  </r>
  <r>
    <x v="12"/>
    <d v="2016-07-14T00:00:00"/>
    <x v="4"/>
  </r>
  <r>
    <x v="12"/>
    <d v="2016-07-14T00:00:00"/>
    <x v="4"/>
  </r>
  <r>
    <x v="11"/>
    <d v="2016-07-15T00:00:00"/>
    <x v="0"/>
  </r>
  <r>
    <x v="7"/>
    <d v="2016-07-15T00:00:00"/>
    <x v="0"/>
  </r>
  <r>
    <x v="7"/>
    <d v="2016-07-15T00:00:00"/>
    <x v="0"/>
  </r>
  <r>
    <x v="8"/>
    <d v="2016-07-15T00:00:00"/>
    <x v="0"/>
  </r>
  <r>
    <x v="8"/>
    <d v="2016-07-15T00:00:00"/>
    <x v="0"/>
  </r>
  <r>
    <x v="5"/>
    <d v="2016-07-16T00:00:00"/>
    <x v="1"/>
  </r>
  <r>
    <x v="4"/>
    <d v="2016-07-16T00:00:00"/>
    <x v="1"/>
  </r>
  <r>
    <x v="8"/>
    <d v="2016-07-16T00:00:00"/>
    <x v="1"/>
  </r>
  <r>
    <x v="10"/>
    <d v="2016-07-16T00:00:00"/>
    <x v="1"/>
  </r>
  <r>
    <x v="0"/>
    <d v="2016-07-16T00:00:00"/>
    <x v="1"/>
  </r>
  <r>
    <x v="20"/>
    <d v="2016-07-16T00:00:00"/>
    <x v="1"/>
  </r>
  <r>
    <x v="11"/>
    <d v="2016-07-17T00:00:00"/>
    <x v="5"/>
  </r>
  <r>
    <x v="7"/>
    <d v="2016-07-17T00:00:00"/>
    <x v="5"/>
  </r>
  <r>
    <x v="15"/>
    <d v="2016-07-18T00:00:00"/>
    <x v="6"/>
  </r>
  <r>
    <x v="15"/>
    <d v="2016-07-18T00:00:00"/>
    <x v="6"/>
  </r>
  <r>
    <x v="11"/>
    <d v="2016-07-18T00:00:00"/>
    <x v="6"/>
  </r>
  <r>
    <x v="11"/>
    <d v="2016-07-18T00:00:00"/>
    <x v="6"/>
  </r>
  <r>
    <x v="3"/>
    <d v="2016-07-18T00:00:00"/>
    <x v="6"/>
  </r>
  <r>
    <x v="9"/>
    <d v="2016-07-18T00:00:00"/>
    <x v="6"/>
  </r>
  <r>
    <x v="10"/>
    <d v="2016-07-18T00:00:00"/>
    <x v="6"/>
  </r>
  <r>
    <x v="2"/>
    <d v="2016-07-18T00:00:00"/>
    <x v="6"/>
  </r>
  <r>
    <x v="0"/>
    <d v="2016-07-18T00:00:00"/>
    <x v="6"/>
  </r>
  <r>
    <x v="15"/>
    <d v="2016-07-19T00:00:00"/>
    <x v="2"/>
  </r>
  <r>
    <x v="15"/>
    <d v="2016-07-19T00:00:00"/>
    <x v="2"/>
  </r>
  <r>
    <x v="11"/>
    <d v="2016-07-19T00:00:00"/>
    <x v="2"/>
  </r>
  <r>
    <x v="3"/>
    <d v="2016-07-19T00:00:00"/>
    <x v="2"/>
  </r>
  <r>
    <x v="3"/>
    <d v="2016-07-19T00:00:00"/>
    <x v="2"/>
  </r>
  <r>
    <x v="3"/>
    <d v="2016-07-20T00:00:00"/>
    <x v="3"/>
  </r>
  <r>
    <x v="3"/>
    <d v="2016-07-20T00:00:00"/>
    <x v="3"/>
  </r>
  <r>
    <x v="9"/>
    <d v="2016-07-20T00:00:00"/>
    <x v="3"/>
  </r>
  <r>
    <x v="3"/>
    <d v="2016-07-21T00:00:00"/>
    <x v="4"/>
  </r>
  <r>
    <x v="3"/>
    <d v="2016-07-21T00:00:00"/>
    <x v="4"/>
  </r>
  <r>
    <x v="9"/>
    <d v="2016-07-21T00:00:00"/>
    <x v="4"/>
  </r>
  <r>
    <x v="10"/>
    <d v="2016-07-21T00:00:00"/>
    <x v="4"/>
  </r>
  <r>
    <x v="15"/>
    <d v="2016-07-22T00:00:00"/>
    <x v="0"/>
  </r>
  <r>
    <x v="11"/>
    <d v="2016-07-22T00:00:00"/>
    <x v="0"/>
  </r>
  <r>
    <x v="11"/>
    <d v="2016-07-22T00:00:00"/>
    <x v="0"/>
  </r>
  <r>
    <x v="7"/>
    <d v="2016-07-22T00:00:00"/>
    <x v="0"/>
  </r>
  <r>
    <x v="5"/>
    <d v="2016-07-22T00:00:00"/>
    <x v="0"/>
  </r>
  <r>
    <x v="4"/>
    <d v="2016-07-22T00:00:00"/>
    <x v="0"/>
  </r>
  <r>
    <x v="8"/>
    <d v="2016-07-22T00:00:00"/>
    <x v="0"/>
  </r>
  <r>
    <x v="9"/>
    <d v="2016-07-22T00:00:00"/>
    <x v="0"/>
  </r>
  <r>
    <x v="4"/>
    <d v="2016-07-23T00:00:00"/>
    <x v="1"/>
  </r>
  <r>
    <x v="4"/>
    <d v="2016-07-23T00:00:00"/>
    <x v="1"/>
  </r>
  <r>
    <x v="8"/>
    <d v="2016-07-23T00:00:00"/>
    <x v="1"/>
  </r>
  <r>
    <x v="8"/>
    <d v="2016-07-23T00:00:00"/>
    <x v="1"/>
  </r>
  <r>
    <x v="2"/>
    <d v="2016-07-23T00:00:00"/>
    <x v="1"/>
  </r>
  <r>
    <x v="16"/>
    <d v="2016-07-23T00:00:00"/>
    <x v="1"/>
  </r>
  <r>
    <x v="15"/>
    <d v="2016-07-25T00:00:00"/>
    <x v="6"/>
  </r>
  <r>
    <x v="15"/>
    <d v="2016-07-25T00:00:00"/>
    <x v="6"/>
  </r>
  <r>
    <x v="11"/>
    <d v="2016-07-25T00:00:00"/>
    <x v="6"/>
  </r>
  <r>
    <x v="11"/>
    <d v="2016-07-25T00:00:00"/>
    <x v="6"/>
  </r>
  <r>
    <x v="8"/>
    <d v="2016-07-26T00:00:00"/>
    <x v="2"/>
  </r>
  <r>
    <x v="3"/>
    <d v="2016-07-26T00:00:00"/>
    <x v="2"/>
  </r>
  <r>
    <x v="2"/>
    <d v="2016-07-26T00:00:00"/>
    <x v="2"/>
  </r>
  <r>
    <x v="20"/>
    <d v="2016-07-26T00:00:00"/>
    <x v="2"/>
  </r>
  <r>
    <x v="10"/>
    <d v="2016-07-27T00:00:00"/>
    <x v="3"/>
  </r>
  <r>
    <x v="0"/>
    <d v="2016-07-27T00:00:00"/>
    <x v="3"/>
  </r>
  <r>
    <x v="20"/>
    <d v="2016-07-27T00:00:00"/>
    <x v="3"/>
  </r>
  <r>
    <x v="13"/>
    <d v="2016-07-28T00:00:00"/>
    <x v="4"/>
  </r>
  <r>
    <x v="8"/>
    <d v="2016-07-29T00:00:00"/>
    <x v="0"/>
  </r>
  <r>
    <x v="3"/>
    <d v="2016-07-29T00:00:00"/>
    <x v="0"/>
  </r>
  <r>
    <x v="3"/>
    <d v="2016-07-30T00:00:00"/>
    <x v="1"/>
  </r>
  <r>
    <x v="0"/>
    <d v="2016-07-30T00:00:00"/>
    <x v="1"/>
  </r>
  <r>
    <x v="3"/>
    <d v="2016-07-31T00:00:00"/>
    <x v="5"/>
  </r>
  <r>
    <x v="7"/>
    <d v="2016-08-01T00:00:00"/>
    <x v="6"/>
  </r>
  <r>
    <x v="5"/>
    <d v="2016-08-01T00:00:00"/>
    <x v="6"/>
  </r>
  <r>
    <x v="5"/>
    <d v="2016-08-01T00:00:00"/>
    <x v="6"/>
  </r>
  <r>
    <x v="5"/>
    <d v="2016-08-01T00:00:00"/>
    <x v="6"/>
  </r>
  <r>
    <x v="8"/>
    <d v="2016-08-01T00:00:00"/>
    <x v="6"/>
  </r>
  <r>
    <x v="12"/>
    <d v="2016-08-01T00:00:00"/>
    <x v="6"/>
  </r>
  <r>
    <x v="12"/>
    <d v="2016-08-01T00:00:00"/>
    <x v="6"/>
  </r>
  <r>
    <x v="3"/>
    <d v="2016-08-01T00:00:00"/>
    <x v="6"/>
  </r>
  <r>
    <x v="6"/>
    <d v="2016-08-02T00:00:00"/>
    <x v="2"/>
  </r>
  <r>
    <x v="11"/>
    <d v="2016-08-02T00:00:00"/>
    <x v="2"/>
  </r>
  <r>
    <x v="10"/>
    <d v="2016-08-02T00:00:00"/>
    <x v="2"/>
  </r>
  <r>
    <x v="0"/>
    <d v="2016-08-02T00:00:00"/>
    <x v="2"/>
  </r>
  <r>
    <x v="7"/>
    <d v="2016-08-03T00:00:00"/>
    <x v="3"/>
  </r>
  <r>
    <x v="4"/>
    <d v="2016-08-03T00:00:00"/>
    <x v="3"/>
  </r>
  <r>
    <x v="12"/>
    <d v="2016-08-03T00:00:00"/>
    <x v="3"/>
  </r>
  <r>
    <x v="3"/>
    <d v="2016-08-05T00:00:00"/>
    <x v="0"/>
  </r>
  <r>
    <x v="9"/>
    <d v="2016-08-05T00:00:00"/>
    <x v="0"/>
  </r>
  <r>
    <x v="10"/>
    <d v="2016-08-05T00:00:00"/>
    <x v="0"/>
  </r>
  <r>
    <x v="21"/>
    <d v="2016-08-06T00:00:00"/>
    <x v="1"/>
  </r>
  <r>
    <x v="14"/>
    <d v="2016-08-06T00:00:00"/>
    <x v="1"/>
  </r>
  <r>
    <x v="3"/>
    <d v="2016-08-07T00:00:00"/>
    <x v="5"/>
  </r>
  <r>
    <x v="3"/>
    <d v="2016-08-07T00:00:00"/>
    <x v="5"/>
  </r>
  <r>
    <x v="9"/>
    <d v="2016-08-07T00:00:00"/>
    <x v="5"/>
  </r>
  <r>
    <x v="2"/>
    <d v="2016-08-07T00:00:00"/>
    <x v="5"/>
  </r>
  <r>
    <x v="12"/>
    <d v="2016-08-08T00:00:00"/>
    <x v="6"/>
  </r>
  <r>
    <x v="12"/>
    <d v="2016-08-08T00:00:00"/>
    <x v="6"/>
  </r>
  <r>
    <x v="3"/>
    <d v="2016-08-08T00:00:00"/>
    <x v="6"/>
  </r>
  <r>
    <x v="0"/>
    <d v="2016-08-08T00:00:00"/>
    <x v="6"/>
  </r>
  <r>
    <x v="16"/>
    <d v="2016-08-08T00:00:00"/>
    <x v="6"/>
  </r>
  <r>
    <x v="4"/>
    <d v="2016-08-09T00:00:00"/>
    <x v="2"/>
  </r>
  <r>
    <x v="8"/>
    <d v="2016-08-09T00:00:00"/>
    <x v="2"/>
  </r>
  <r>
    <x v="12"/>
    <d v="2016-08-09T00:00:00"/>
    <x v="2"/>
  </r>
  <r>
    <x v="12"/>
    <d v="2016-08-10T00:00:00"/>
    <x v="3"/>
  </r>
  <r>
    <x v="3"/>
    <d v="2016-08-10T00:00:00"/>
    <x v="3"/>
  </r>
  <r>
    <x v="9"/>
    <d v="2016-08-10T00:00:00"/>
    <x v="3"/>
  </r>
  <r>
    <x v="10"/>
    <d v="2016-08-10T00:00:00"/>
    <x v="3"/>
  </r>
  <r>
    <x v="7"/>
    <d v="2016-08-11T00:00:00"/>
    <x v="4"/>
  </r>
  <r>
    <x v="5"/>
    <d v="2016-08-11T00:00:00"/>
    <x v="4"/>
  </r>
  <r>
    <x v="5"/>
    <d v="2016-08-11T00:00:00"/>
    <x v="4"/>
  </r>
  <r>
    <x v="9"/>
    <d v="2016-08-11T00:00:00"/>
    <x v="4"/>
  </r>
  <r>
    <x v="2"/>
    <d v="2016-08-11T00:00:00"/>
    <x v="4"/>
  </r>
  <r>
    <x v="9"/>
    <d v="2016-08-12T00:00:00"/>
    <x v="0"/>
  </r>
  <r>
    <x v="9"/>
    <d v="2016-08-12T00:00:00"/>
    <x v="0"/>
  </r>
  <r>
    <x v="8"/>
    <d v="2016-08-13T00:00:00"/>
    <x v="1"/>
  </r>
  <r>
    <x v="14"/>
    <d v="2016-08-15T00:00:00"/>
    <x v="6"/>
  </r>
  <r>
    <x v="8"/>
    <d v="2016-08-15T00:00:00"/>
    <x v="6"/>
  </r>
  <r>
    <x v="12"/>
    <d v="2016-08-15T00:00:00"/>
    <x v="6"/>
  </r>
  <r>
    <x v="10"/>
    <d v="2016-08-15T00:00:00"/>
    <x v="6"/>
  </r>
  <r>
    <x v="18"/>
    <d v="2016-08-16T00:00:00"/>
    <x v="2"/>
  </r>
  <r>
    <x v="6"/>
    <d v="2016-08-16T00:00:00"/>
    <x v="2"/>
  </r>
  <r>
    <x v="6"/>
    <d v="2016-08-16T00:00:00"/>
    <x v="2"/>
  </r>
  <r>
    <x v="15"/>
    <d v="2016-08-16T00:00:00"/>
    <x v="2"/>
  </r>
  <r>
    <x v="15"/>
    <d v="2016-08-16T00:00:00"/>
    <x v="2"/>
  </r>
  <r>
    <x v="11"/>
    <d v="2016-08-16T00:00:00"/>
    <x v="2"/>
  </r>
  <r>
    <x v="8"/>
    <d v="2016-08-16T00:00:00"/>
    <x v="2"/>
  </r>
  <r>
    <x v="15"/>
    <d v="2016-08-17T00:00:00"/>
    <x v="3"/>
  </r>
  <r>
    <x v="15"/>
    <d v="2016-08-17T00:00:00"/>
    <x v="3"/>
  </r>
  <r>
    <x v="4"/>
    <d v="2016-08-17T00:00:00"/>
    <x v="3"/>
  </r>
  <r>
    <x v="8"/>
    <d v="2016-08-17T00:00:00"/>
    <x v="3"/>
  </r>
  <r>
    <x v="12"/>
    <d v="2016-08-17T00:00:00"/>
    <x v="3"/>
  </r>
  <r>
    <x v="12"/>
    <d v="2016-08-17T00:00:00"/>
    <x v="3"/>
  </r>
  <r>
    <x v="3"/>
    <d v="2016-08-17T00:00:00"/>
    <x v="3"/>
  </r>
  <r>
    <x v="9"/>
    <d v="2016-08-17T00:00:00"/>
    <x v="3"/>
  </r>
  <r>
    <x v="9"/>
    <d v="2016-08-18T00:00:00"/>
    <x v="4"/>
  </r>
  <r>
    <x v="6"/>
    <d v="2016-08-19T00:00:00"/>
    <x v="0"/>
  </r>
  <r>
    <x v="6"/>
    <d v="2016-08-19T00:00:00"/>
    <x v="0"/>
  </r>
  <r>
    <x v="14"/>
    <d v="2016-08-19T00:00:00"/>
    <x v="0"/>
  </r>
  <r>
    <x v="15"/>
    <d v="2016-08-19T00:00:00"/>
    <x v="0"/>
  </r>
  <r>
    <x v="7"/>
    <d v="2016-08-19T00:00:00"/>
    <x v="0"/>
  </r>
  <r>
    <x v="8"/>
    <d v="2016-08-19T00:00:00"/>
    <x v="0"/>
  </r>
  <r>
    <x v="3"/>
    <d v="2016-08-19T00:00:00"/>
    <x v="0"/>
  </r>
  <r>
    <x v="15"/>
    <d v="2016-08-21T00:00:00"/>
    <x v="5"/>
  </r>
  <r>
    <x v="4"/>
    <d v="2016-08-21T00:00:00"/>
    <x v="5"/>
  </r>
  <r>
    <x v="12"/>
    <d v="2016-08-21T00:00:00"/>
    <x v="5"/>
  </r>
  <r>
    <x v="9"/>
    <d v="2016-08-21T00:00:00"/>
    <x v="5"/>
  </r>
  <r>
    <x v="9"/>
    <d v="2016-08-21T00:00:00"/>
    <x v="5"/>
  </r>
  <r>
    <x v="15"/>
    <d v="2016-08-22T00:00:00"/>
    <x v="6"/>
  </r>
  <r>
    <x v="11"/>
    <d v="2016-08-22T00:00:00"/>
    <x v="6"/>
  </r>
  <r>
    <x v="7"/>
    <d v="2016-08-22T00:00:00"/>
    <x v="6"/>
  </r>
  <r>
    <x v="5"/>
    <d v="2016-08-22T00:00:00"/>
    <x v="6"/>
  </r>
  <r>
    <x v="4"/>
    <d v="2016-08-22T00:00:00"/>
    <x v="6"/>
  </r>
  <r>
    <x v="8"/>
    <d v="2016-08-22T00:00:00"/>
    <x v="6"/>
  </r>
  <r>
    <x v="8"/>
    <d v="2016-08-22T00:00:00"/>
    <x v="6"/>
  </r>
  <r>
    <x v="10"/>
    <d v="2016-08-22T00:00:00"/>
    <x v="6"/>
  </r>
  <r>
    <x v="2"/>
    <d v="2016-08-22T00:00:00"/>
    <x v="6"/>
  </r>
  <r>
    <x v="20"/>
    <d v="2016-08-22T00:00:00"/>
    <x v="6"/>
  </r>
  <r>
    <x v="6"/>
    <d v="2016-08-23T00:00:00"/>
    <x v="2"/>
  </r>
  <r>
    <x v="14"/>
    <d v="2016-08-23T00:00:00"/>
    <x v="2"/>
  </r>
  <r>
    <x v="7"/>
    <d v="2016-08-23T00:00:00"/>
    <x v="2"/>
  </r>
  <r>
    <x v="5"/>
    <d v="2016-08-23T00:00:00"/>
    <x v="2"/>
  </r>
  <r>
    <x v="5"/>
    <d v="2016-08-23T00:00:00"/>
    <x v="2"/>
  </r>
  <r>
    <x v="8"/>
    <d v="2016-08-23T00:00:00"/>
    <x v="2"/>
  </r>
  <r>
    <x v="8"/>
    <d v="2016-08-23T00:00:00"/>
    <x v="2"/>
  </r>
  <r>
    <x v="3"/>
    <d v="2016-08-23T00:00:00"/>
    <x v="2"/>
  </r>
  <r>
    <x v="7"/>
    <d v="2016-08-24T00:00:00"/>
    <x v="3"/>
  </r>
  <r>
    <x v="5"/>
    <d v="2016-08-24T00:00:00"/>
    <x v="3"/>
  </r>
  <r>
    <x v="8"/>
    <d v="2016-08-25T00:00:00"/>
    <x v="4"/>
  </r>
  <r>
    <x v="12"/>
    <d v="2016-08-25T00:00:00"/>
    <x v="4"/>
  </r>
  <r>
    <x v="3"/>
    <d v="2016-08-25T00:00:00"/>
    <x v="4"/>
  </r>
  <r>
    <x v="10"/>
    <d v="2016-08-25T00:00:00"/>
    <x v="4"/>
  </r>
  <r>
    <x v="20"/>
    <d v="2016-08-25T00:00:00"/>
    <x v="4"/>
  </r>
  <r>
    <x v="14"/>
    <d v="2016-08-26T00:00:00"/>
    <x v="0"/>
  </r>
  <r>
    <x v="11"/>
    <d v="2016-08-26T00:00:00"/>
    <x v="0"/>
  </r>
  <r>
    <x v="7"/>
    <d v="2016-08-26T00:00:00"/>
    <x v="0"/>
  </r>
  <r>
    <x v="4"/>
    <d v="2016-08-26T00:00:00"/>
    <x v="0"/>
  </r>
  <r>
    <x v="8"/>
    <d v="2016-08-26T00:00:00"/>
    <x v="0"/>
  </r>
  <r>
    <x v="8"/>
    <d v="2016-08-26T00:00:00"/>
    <x v="0"/>
  </r>
  <r>
    <x v="12"/>
    <d v="2016-08-26T00:00:00"/>
    <x v="0"/>
  </r>
  <r>
    <x v="9"/>
    <d v="2016-08-26T00:00:00"/>
    <x v="0"/>
  </r>
  <r>
    <x v="10"/>
    <d v="2016-08-26T00:00:00"/>
    <x v="0"/>
  </r>
  <r>
    <x v="2"/>
    <d v="2016-08-26T00:00:00"/>
    <x v="0"/>
  </r>
  <r>
    <x v="14"/>
    <d v="2016-08-27T00:00:00"/>
    <x v="1"/>
  </r>
  <r>
    <x v="11"/>
    <d v="2016-08-27T00:00:00"/>
    <x v="1"/>
  </r>
  <r>
    <x v="7"/>
    <d v="2016-08-27T00:00:00"/>
    <x v="1"/>
  </r>
  <r>
    <x v="4"/>
    <d v="2016-08-27T00:00:00"/>
    <x v="1"/>
  </r>
  <r>
    <x v="12"/>
    <d v="2016-08-27T00:00:00"/>
    <x v="1"/>
  </r>
  <r>
    <x v="14"/>
    <d v="2016-08-28T00:00:00"/>
    <x v="5"/>
  </r>
  <r>
    <x v="12"/>
    <d v="2016-08-28T00:00:00"/>
    <x v="5"/>
  </r>
  <r>
    <x v="3"/>
    <d v="2016-08-28T00:00:00"/>
    <x v="5"/>
  </r>
  <r>
    <x v="0"/>
    <d v="2016-08-28T00:00:00"/>
    <x v="5"/>
  </r>
  <r>
    <x v="7"/>
    <d v="2016-08-29T00:00:00"/>
    <x v="6"/>
  </r>
  <r>
    <x v="5"/>
    <d v="2016-08-29T00:00:00"/>
    <x v="6"/>
  </r>
  <r>
    <x v="4"/>
    <d v="2016-08-29T00:00:00"/>
    <x v="6"/>
  </r>
  <r>
    <x v="4"/>
    <d v="2016-08-29T00:00:00"/>
    <x v="6"/>
  </r>
  <r>
    <x v="8"/>
    <d v="2016-08-29T00:00:00"/>
    <x v="6"/>
  </r>
  <r>
    <x v="12"/>
    <d v="2016-08-29T00:00:00"/>
    <x v="6"/>
  </r>
  <r>
    <x v="3"/>
    <d v="2016-08-29T00:00:00"/>
    <x v="6"/>
  </r>
  <r>
    <x v="9"/>
    <d v="2016-08-29T00:00:00"/>
    <x v="6"/>
  </r>
  <r>
    <x v="11"/>
    <d v="2016-08-30T00:00:00"/>
    <x v="2"/>
  </r>
  <r>
    <x v="7"/>
    <d v="2016-08-30T00:00:00"/>
    <x v="2"/>
  </r>
  <r>
    <x v="5"/>
    <d v="2016-08-30T00:00:00"/>
    <x v="2"/>
  </r>
  <r>
    <x v="4"/>
    <d v="2016-08-30T00:00:00"/>
    <x v="2"/>
  </r>
  <r>
    <x v="3"/>
    <d v="2016-08-30T00:00:00"/>
    <x v="2"/>
  </r>
  <r>
    <x v="11"/>
    <d v="2016-09-01T00:00:00"/>
    <x v="4"/>
  </r>
  <r>
    <x v="3"/>
    <d v="2016-09-01T00:00:00"/>
    <x v="4"/>
  </r>
  <r>
    <x v="9"/>
    <d v="2016-09-01T00:00:00"/>
    <x v="4"/>
  </r>
  <r>
    <x v="11"/>
    <d v="2016-09-02T00:00:00"/>
    <x v="0"/>
  </r>
  <r>
    <x v="9"/>
    <d v="2016-09-02T00:00:00"/>
    <x v="0"/>
  </r>
  <r>
    <x v="15"/>
    <d v="2016-09-05T00:00:00"/>
    <x v="6"/>
  </r>
  <r>
    <x v="3"/>
    <d v="2016-09-06T00:00:00"/>
    <x v="2"/>
  </r>
  <r>
    <x v="15"/>
    <d v="2016-09-10T00:00:00"/>
    <x v="1"/>
  </r>
  <r>
    <x v="14"/>
    <d v="2016-09-11T00:00:00"/>
    <x v="5"/>
  </r>
  <r>
    <x v="0"/>
    <d v="2016-09-11T00:00:00"/>
    <x v="5"/>
  </r>
  <r>
    <x v="6"/>
    <d v="2016-09-12T00:00:00"/>
    <x v="6"/>
  </r>
  <r>
    <x v="11"/>
    <d v="2016-09-12T00:00:00"/>
    <x v="6"/>
  </r>
  <r>
    <x v="5"/>
    <d v="2016-09-12T00:00:00"/>
    <x v="6"/>
  </r>
  <r>
    <x v="12"/>
    <d v="2016-09-13T00:00:00"/>
    <x v="2"/>
  </r>
  <r>
    <x v="11"/>
    <d v="2016-09-14T00:00:00"/>
    <x v="3"/>
  </r>
  <r>
    <x v="2"/>
    <d v="2016-09-15T00:00:00"/>
    <x v="4"/>
  </r>
  <r>
    <x v="18"/>
    <d v="2016-09-16T00:00:00"/>
    <x v="0"/>
  </r>
  <r>
    <x v="9"/>
    <d v="2016-09-18T00:00:00"/>
    <x v="5"/>
  </r>
  <r>
    <x v="21"/>
    <d v="2016-09-19T00:00:00"/>
    <x v="6"/>
  </r>
  <r>
    <x v="4"/>
    <d v="2016-09-19T00:00:00"/>
    <x v="6"/>
  </r>
  <r>
    <x v="12"/>
    <d v="2016-09-19T00:00:00"/>
    <x v="6"/>
  </r>
  <r>
    <x v="3"/>
    <d v="2016-09-19T00:00:00"/>
    <x v="6"/>
  </r>
  <r>
    <x v="10"/>
    <d v="2016-09-19T00:00:00"/>
    <x v="6"/>
  </r>
  <r>
    <x v="11"/>
    <d v="2016-09-20T00:00:00"/>
    <x v="2"/>
  </r>
  <r>
    <x v="2"/>
    <d v="2016-09-20T00:00:00"/>
    <x v="2"/>
  </r>
  <r>
    <x v="5"/>
    <d v="2016-09-23T00:00:00"/>
    <x v="0"/>
  </r>
  <r>
    <x v="4"/>
    <d v="2016-09-24T00:00:00"/>
    <x v="1"/>
  </r>
  <r>
    <x v="2"/>
    <d v="2016-09-24T00:00:00"/>
    <x v="1"/>
  </r>
  <r>
    <x v="6"/>
    <d v="2016-09-27T00:00:00"/>
    <x v="2"/>
  </r>
  <r>
    <x v="5"/>
    <d v="2016-09-27T00:00:00"/>
    <x v="2"/>
  </r>
  <r>
    <x v="10"/>
    <d v="2016-09-27T00:00:00"/>
    <x v="2"/>
  </r>
  <r>
    <x v="0"/>
    <d v="2016-09-27T00:00:00"/>
    <x v="2"/>
  </r>
  <r>
    <x v="3"/>
    <d v="2016-09-28T00:00:00"/>
    <x v="3"/>
  </r>
  <r>
    <x v="12"/>
    <d v="2016-09-29T00:00:00"/>
    <x v="4"/>
  </r>
  <r>
    <x v="3"/>
    <d v="2016-09-30T00:00:00"/>
    <x v="0"/>
  </r>
  <r>
    <x v="2"/>
    <d v="2016-09-30T00:00:00"/>
    <x v="0"/>
  </r>
  <r>
    <x v="3"/>
    <d v="2016-10-03T00:00:00"/>
    <x v="6"/>
  </r>
  <r>
    <x v="9"/>
    <d v="2016-10-03T00:00:00"/>
    <x v="6"/>
  </r>
  <r>
    <x v="9"/>
    <d v="2016-10-03T00:00:00"/>
    <x v="6"/>
  </r>
  <r>
    <x v="20"/>
    <d v="2016-10-03T00:00:00"/>
    <x v="6"/>
  </r>
  <r>
    <x v="14"/>
    <d v="2016-10-04T00:00:00"/>
    <x v="2"/>
  </r>
  <r>
    <x v="7"/>
    <d v="2016-10-04T00:00:00"/>
    <x v="2"/>
  </r>
  <r>
    <x v="6"/>
    <d v="2016-10-06T00:00:00"/>
    <x v="4"/>
  </r>
  <r>
    <x v="3"/>
    <d v="2016-10-06T00:00:00"/>
    <x v="4"/>
  </r>
  <r>
    <x v="9"/>
    <d v="2016-10-06T00:00:00"/>
    <x v="4"/>
  </r>
  <r>
    <x v="10"/>
    <d v="2016-10-06T00:00:00"/>
    <x v="4"/>
  </r>
  <r>
    <x v="15"/>
    <d v="2016-10-07T00:00:00"/>
    <x v="0"/>
  </r>
  <r>
    <x v="11"/>
    <d v="2016-10-07T00:00:00"/>
    <x v="0"/>
  </r>
  <r>
    <x v="5"/>
    <d v="2016-10-07T00:00:00"/>
    <x v="0"/>
  </r>
  <r>
    <x v="4"/>
    <d v="2016-10-07T00:00:00"/>
    <x v="0"/>
  </r>
  <r>
    <x v="8"/>
    <d v="2016-10-07T00:00:00"/>
    <x v="0"/>
  </r>
  <r>
    <x v="9"/>
    <d v="2016-10-07T00:00:00"/>
    <x v="0"/>
  </r>
  <r>
    <x v="9"/>
    <d v="2016-10-07T00:00:00"/>
    <x v="0"/>
  </r>
  <r>
    <x v="8"/>
    <d v="2016-10-08T00:00:00"/>
    <x v="1"/>
  </r>
  <r>
    <x v="9"/>
    <d v="2016-10-08T00:00:00"/>
    <x v="1"/>
  </r>
  <r>
    <x v="4"/>
    <d v="2016-10-09T00:00:00"/>
    <x v="5"/>
  </r>
  <r>
    <x v="3"/>
    <d v="2016-10-10T00:00:00"/>
    <x v="6"/>
  </r>
  <r>
    <x v="3"/>
    <d v="2016-10-10T00:00:00"/>
    <x v="6"/>
  </r>
  <r>
    <x v="1"/>
    <d v="2016-10-11T00:00:00"/>
    <x v="2"/>
  </r>
  <r>
    <x v="10"/>
    <d v="2016-10-12T00:00:00"/>
    <x v="3"/>
  </r>
  <r>
    <x v="11"/>
    <d v="2016-10-13T00:00:00"/>
    <x v="4"/>
  </r>
  <r>
    <x v="7"/>
    <d v="2016-10-13T00:00:00"/>
    <x v="4"/>
  </r>
  <r>
    <x v="5"/>
    <d v="2016-10-13T00:00:00"/>
    <x v="4"/>
  </r>
  <r>
    <x v="5"/>
    <d v="2016-10-13T00:00:00"/>
    <x v="4"/>
  </r>
  <r>
    <x v="12"/>
    <d v="2016-10-13T00:00:00"/>
    <x v="4"/>
  </r>
  <r>
    <x v="6"/>
    <d v="2016-10-14T00:00:00"/>
    <x v="0"/>
  </r>
  <r>
    <x v="15"/>
    <d v="2016-10-14T00:00:00"/>
    <x v="0"/>
  </r>
  <r>
    <x v="8"/>
    <d v="2016-10-14T00:00:00"/>
    <x v="0"/>
  </r>
  <r>
    <x v="16"/>
    <d v="2016-10-14T00:00:00"/>
    <x v="0"/>
  </r>
  <r>
    <x v="20"/>
    <d v="2016-10-15T00:00:00"/>
    <x v="1"/>
  </r>
  <r>
    <x v="13"/>
    <d v="2016-10-16T00:00:00"/>
    <x v="5"/>
  </r>
  <r>
    <x v="7"/>
    <d v="2016-10-16T00:00:00"/>
    <x v="5"/>
  </r>
  <r>
    <x v="4"/>
    <d v="2016-10-16T00:00:00"/>
    <x v="5"/>
  </r>
  <r>
    <x v="8"/>
    <d v="2016-10-16T00:00:00"/>
    <x v="5"/>
  </r>
  <r>
    <x v="10"/>
    <d v="2016-10-16T00:00:00"/>
    <x v="5"/>
  </r>
  <r>
    <x v="2"/>
    <d v="2016-10-16T00:00:00"/>
    <x v="5"/>
  </r>
  <r>
    <x v="0"/>
    <d v="2016-10-16T00:00:00"/>
    <x v="5"/>
  </r>
  <r>
    <x v="8"/>
    <d v="2016-10-17T00:00:00"/>
    <x v="6"/>
  </r>
  <r>
    <x v="12"/>
    <d v="2016-10-17T00:00:00"/>
    <x v="6"/>
  </r>
  <r>
    <x v="9"/>
    <d v="2016-10-17T00:00:00"/>
    <x v="6"/>
  </r>
  <r>
    <x v="9"/>
    <d v="2016-10-17T00:00:00"/>
    <x v="6"/>
  </r>
  <r>
    <x v="10"/>
    <d v="2016-10-17T00:00:00"/>
    <x v="6"/>
  </r>
  <r>
    <x v="6"/>
    <d v="2016-10-18T00:00:00"/>
    <x v="2"/>
  </r>
  <r>
    <x v="6"/>
    <d v="2016-10-18T00:00:00"/>
    <x v="2"/>
  </r>
  <r>
    <x v="15"/>
    <d v="2016-10-18T00:00:00"/>
    <x v="2"/>
  </r>
  <r>
    <x v="9"/>
    <d v="2016-10-18T00:00:00"/>
    <x v="2"/>
  </r>
  <r>
    <x v="10"/>
    <d v="2016-10-18T00:00:00"/>
    <x v="2"/>
  </r>
  <r>
    <x v="2"/>
    <d v="2016-10-18T00:00:00"/>
    <x v="2"/>
  </r>
  <r>
    <x v="14"/>
    <d v="2016-10-19T00:00:00"/>
    <x v="3"/>
  </r>
  <r>
    <x v="14"/>
    <d v="2016-10-19T00:00:00"/>
    <x v="3"/>
  </r>
  <r>
    <x v="5"/>
    <d v="2016-10-19T00:00:00"/>
    <x v="3"/>
  </r>
  <r>
    <x v="4"/>
    <d v="2016-10-19T00:00:00"/>
    <x v="3"/>
  </r>
  <r>
    <x v="8"/>
    <d v="2016-10-19T00:00:00"/>
    <x v="3"/>
  </r>
  <r>
    <x v="12"/>
    <d v="2016-10-19T00:00:00"/>
    <x v="3"/>
  </r>
  <r>
    <x v="12"/>
    <d v="2016-10-19T00:00:00"/>
    <x v="3"/>
  </r>
  <r>
    <x v="11"/>
    <d v="2016-10-20T00:00:00"/>
    <x v="4"/>
  </r>
  <r>
    <x v="7"/>
    <d v="2016-10-20T00:00:00"/>
    <x v="4"/>
  </r>
  <r>
    <x v="2"/>
    <d v="2016-10-20T00:00:00"/>
    <x v="4"/>
  </r>
  <r>
    <x v="15"/>
    <d v="2016-10-21T00:00:00"/>
    <x v="0"/>
  </r>
  <r>
    <x v="13"/>
    <d v="2016-10-22T00:00:00"/>
    <x v="1"/>
  </r>
  <r>
    <x v="5"/>
    <d v="2016-10-22T00:00:00"/>
    <x v="1"/>
  </r>
  <r>
    <x v="3"/>
    <d v="2016-10-22T00:00:00"/>
    <x v="1"/>
  </r>
  <r>
    <x v="14"/>
    <d v="2016-10-23T00:00:00"/>
    <x v="5"/>
  </r>
  <r>
    <x v="7"/>
    <d v="2016-10-23T00:00:00"/>
    <x v="5"/>
  </r>
  <r>
    <x v="10"/>
    <d v="2016-10-23T00:00:00"/>
    <x v="5"/>
  </r>
  <r>
    <x v="0"/>
    <d v="2016-10-23T00:00:00"/>
    <x v="5"/>
  </r>
  <r>
    <x v="4"/>
    <d v="2016-10-24T00:00:00"/>
    <x v="6"/>
  </r>
  <r>
    <x v="8"/>
    <d v="2016-10-24T00:00:00"/>
    <x v="6"/>
  </r>
  <r>
    <x v="12"/>
    <d v="2016-10-24T00:00:00"/>
    <x v="6"/>
  </r>
  <r>
    <x v="5"/>
    <d v="2016-10-25T00:00:00"/>
    <x v="2"/>
  </r>
  <r>
    <x v="8"/>
    <d v="2016-10-25T00:00:00"/>
    <x v="2"/>
  </r>
  <r>
    <x v="8"/>
    <d v="2016-10-25T00:00:00"/>
    <x v="2"/>
  </r>
  <r>
    <x v="2"/>
    <d v="2016-10-25T00:00:00"/>
    <x v="2"/>
  </r>
  <r>
    <x v="2"/>
    <d v="2016-10-25T00:00:00"/>
    <x v="2"/>
  </r>
  <r>
    <x v="20"/>
    <d v="2016-10-25T00:00:00"/>
    <x v="2"/>
  </r>
  <r>
    <x v="10"/>
    <d v="2016-10-26T00:00:00"/>
    <x v="3"/>
  </r>
  <r>
    <x v="2"/>
    <d v="2016-10-26T00:00:00"/>
    <x v="3"/>
  </r>
  <r>
    <x v="9"/>
    <d v="2016-10-27T00:00:00"/>
    <x v="4"/>
  </r>
  <r>
    <x v="10"/>
    <d v="2016-10-27T00:00:00"/>
    <x v="4"/>
  </r>
  <r>
    <x v="10"/>
    <d v="2016-10-27T00:00:00"/>
    <x v="4"/>
  </r>
  <r>
    <x v="2"/>
    <d v="2016-10-27T00:00:00"/>
    <x v="4"/>
  </r>
  <r>
    <x v="0"/>
    <d v="2016-10-27T00:00:00"/>
    <x v="4"/>
  </r>
  <r>
    <x v="11"/>
    <d v="2016-10-28T00:00:00"/>
    <x v="0"/>
  </r>
  <r>
    <x v="5"/>
    <d v="2016-10-28T00:00:00"/>
    <x v="0"/>
  </r>
  <r>
    <x v="8"/>
    <d v="2016-10-28T00:00:00"/>
    <x v="0"/>
  </r>
  <r>
    <x v="9"/>
    <d v="2016-10-28T00:00:00"/>
    <x v="0"/>
  </r>
  <r>
    <x v="2"/>
    <d v="2016-10-28T00:00:00"/>
    <x v="0"/>
  </r>
  <r>
    <x v="8"/>
    <d v="2016-10-29T00:00:00"/>
    <x v="1"/>
  </r>
  <r>
    <x v="3"/>
    <d v="2016-10-29T00:00:00"/>
    <x v="1"/>
  </r>
  <r>
    <x v="18"/>
    <d v="2016-10-30T00:00:00"/>
    <x v="5"/>
  </r>
  <r>
    <x v="14"/>
    <d v="2016-10-30T00:00:00"/>
    <x v="5"/>
  </r>
  <r>
    <x v="15"/>
    <d v="2016-10-30T00:00:00"/>
    <x v="5"/>
  </r>
  <r>
    <x v="15"/>
    <d v="2016-10-30T00:00:00"/>
    <x v="5"/>
  </r>
  <r>
    <x v="7"/>
    <d v="2016-10-30T00:00:00"/>
    <x v="5"/>
  </r>
  <r>
    <x v="7"/>
    <d v="2016-10-30T00:00:00"/>
    <x v="5"/>
  </r>
  <r>
    <x v="5"/>
    <d v="2016-10-30T00:00:00"/>
    <x v="5"/>
  </r>
  <r>
    <x v="8"/>
    <d v="2016-10-30T00:00:00"/>
    <x v="5"/>
  </r>
  <r>
    <x v="9"/>
    <d v="2016-10-30T00:00:00"/>
    <x v="5"/>
  </r>
  <r>
    <x v="9"/>
    <d v="2016-10-31T00:00:00"/>
    <x v="6"/>
  </r>
  <r>
    <x v="9"/>
    <d v="2016-10-31T00:00:00"/>
    <x v="6"/>
  </r>
  <r>
    <x v="2"/>
    <d v="2016-10-31T00:00:00"/>
    <x v="6"/>
  </r>
  <r>
    <x v="0"/>
    <d v="2016-10-31T00:00:00"/>
    <x v="6"/>
  </r>
  <r>
    <x v="11"/>
    <d v="2016-11-01T00:00:00"/>
    <x v="2"/>
  </r>
  <r>
    <x v="12"/>
    <d v="2016-11-01T00:00:00"/>
    <x v="2"/>
  </r>
  <r>
    <x v="3"/>
    <d v="2016-11-01T00:00:00"/>
    <x v="2"/>
  </r>
  <r>
    <x v="10"/>
    <d v="2016-11-01T00:00:00"/>
    <x v="2"/>
  </r>
  <r>
    <x v="10"/>
    <d v="2016-11-01T00:00:00"/>
    <x v="2"/>
  </r>
  <r>
    <x v="2"/>
    <d v="2016-11-01T00:00:00"/>
    <x v="2"/>
  </r>
  <r>
    <x v="8"/>
    <d v="2016-11-02T00:00:00"/>
    <x v="3"/>
  </r>
  <r>
    <x v="8"/>
    <d v="2016-11-02T00:00:00"/>
    <x v="3"/>
  </r>
  <r>
    <x v="12"/>
    <d v="2016-11-02T00:00:00"/>
    <x v="3"/>
  </r>
  <r>
    <x v="3"/>
    <d v="2016-11-02T00:00:00"/>
    <x v="3"/>
  </r>
  <r>
    <x v="3"/>
    <d v="2016-11-02T00:00:00"/>
    <x v="3"/>
  </r>
  <r>
    <x v="11"/>
    <d v="2016-11-03T00:00:00"/>
    <x v="4"/>
  </r>
  <r>
    <x v="7"/>
    <d v="2016-11-03T00:00:00"/>
    <x v="4"/>
  </r>
  <r>
    <x v="5"/>
    <d v="2016-11-03T00:00:00"/>
    <x v="4"/>
  </r>
  <r>
    <x v="4"/>
    <d v="2016-11-03T00:00:00"/>
    <x v="4"/>
  </r>
  <r>
    <x v="9"/>
    <d v="2016-11-03T00:00:00"/>
    <x v="4"/>
  </r>
  <r>
    <x v="20"/>
    <d v="2016-11-03T00:00:00"/>
    <x v="4"/>
  </r>
  <r>
    <x v="15"/>
    <d v="2016-11-04T00:00:00"/>
    <x v="0"/>
  </r>
  <r>
    <x v="9"/>
    <d v="2016-11-04T00:00:00"/>
    <x v="0"/>
  </r>
  <r>
    <x v="0"/>
    <d v="2016-11-04T00:00:00"/>
    <x v="0"/>
  </r>
  <r>
    <x v="20"/>
    <d v="2016-11-04T00:00:00"/>
    <x v="0"/>
  </r>
  <r>
    <x v="6"/>
    <d v="2016-11-05T00:00:00"/>
    <x v="1"/>
  </r>
  <r>
    <x v="3"/>
    <d v="2016-11-05T00:00:00"/>
    <x v="1"/>
  </r>
  <r>
    <x v="10"/>
    <d v="2016-11-05T00:00:00"/>
    <x v="1"/>
  </r>
  <r>
    <x v="15"/>
    <d v="2016-11-06T00:00:00"/>
    <x v="5"/>
  </r>
  <r>
    <x v="12"/>
    <d v="2016-11-06T00:00:00"/>
    <x v="5"/>
  </r>
  <r>
    <x v="12"/>
    <d v="2016-11-06T00:00:00"/>
    <x v="5"/>
  </r>
  <r>
    <x v="10"/>
    <d v="2016-11-06T00:00:00"/>
    <x v="5"/>
  </r>
  <r>
    <x v="2"/>
    <d v="2016-11-06T00:00:00"/>
    <x v="5"/>
  </r>
  <r>
    <x v="7"/>
    <d v="2016-11-07T00:00:00"/>
    <x v="6"/>
  </r>
  <r>
    <x v="10"/>
    <d v="2016-11-07T00:00:00"/>
    <x v="6"/>
  </r>
  <r>
    <x v="15"/>
    <d v="2016-11-08T00:00:00"/>
    <x v="2"/>
  </r>
  <r>
    <x v="7"/>
    <d v="2016-11-08T00:00:00"/>
    <x v="2"/>
  </r>
  <r>
    <x v="5"/>
    <d v="2016-11-08T00:00:00"/>
    <x v="2"/>
  </r>
  <r>
    <x v="12"/>
    <d v="2016-11-08T00:00:00"/>
    <x v="2"/>
  </r>
  <r>
    <x v="5"/>
    <d v="2016-11-09T00:00:00"/>
    <x v="3"/>
  </r>
  <r>
    <x v="8"/>
    <d v="2016-11-09T00:00:00"/>
    <x v="3"/>
  </r>
  <r>
    <x v="3"/>
    <d v="2016-11-09T00:00:00"/>
    <x v="3"/>
  </r>
  <r>
    <x v="9"/>
    <d v="2016-11-09T00:00:00"/>
    <x v="3"/>
  </r>
  <r>
    <x v="9"/>
    <d v="2016-11-09T00:00:00"/>
    <x v="3"/>
  </r>
  <r>
    <x v="9"/>
    <d v="2016-11-09T00:00:00"/>
    <x v="3"/>
  </r>
  <r>
    <x v="2"/>
    <d v="2016-11-09T00:00:00"/>
    <x v="3"/>
  </r>
  <r>
    <x v="0"/>
    <d v="2016-11-09T00:00:00"/>
    <x v="3"/>
  </r>
  <r>
    <x v="14"/>
    <d v="2016-11-10T00:00:00"/>
    <x v="4"/>
  </r>
  <r>
    <x v="15"/>
    <d v="2016-11-10T00:00:00"/>
    <x v="4"/>
  </r>
  <r>
    <x v="4"/>
    <d v="2016-11-10T00:00:00"/>
    <x v="4"/>
  </r>
  <r>
    <x v="8"/>
    <d v="2016-11-10T00:00:00"/>
    <x v="4"/>
  </r>
  <r>
    <x v="8"/>
    <d v="2016-11-10T00:00:00"/>
    <x v="4"/>
  </r>
  <r>
    <x v="10"/>
    <d v="2016-11-10T00:00:00"/>
    <x v="4"/>
  </r>
  <r>
    <x v="14"/>
    <d v="2016-11-11T00:00:00"/>
    <x v="0"/>
  </r>
  <r>
    <x v="7"/>
    <d v="2016-11-11T00:00:00"/>
    <x v="0"/>
  </r>
  <r>
    <x v="4"/>
    <d v="2016-11-11T00:00:00"/>
    <x v="0"/>
  </r>
  <r>
    <x v="4"/>
    <d v="2016-11-11T00:00:00"/>
    <x v="0"/>
  </r>
  <r>
    <x v="9"/>
    <d v="2016-11-11T00:00:00"/>
    <x v="0"/>
  </r>
  <r>
    <x v="0"/>
    <d v="2016-11-11T00:00:00"/>
    <x v="0"/>
  </r>
  <r>
    <x v="15"/>
    <d v="2016-11-12T00:00:00"/>
    <x v="1"/>
  </r>
  <r>
    <x v="15"/>
    <d v="2016-11-12T00:00:00"/>
    <x v="1"/>
  </r>
  <r>
    <x v="5"/>
    <d v="2016-11-12T00:00:00"/>
    <x v="1"/>
  </r>
  <r>
    <x v="5"/>
    <d v="2016-11-12T00:00:00"/>
    <x v="1"/>
  </r>
  <r>
    <x v="4"/>
    <d v="2016-11-12T00:00:00"/>
    <x v="1"/>
  </r>
  <r>
    <x v="8"/>
    <d v="2016-11-12T00:00:00"/>
    <x v="1"/>
  </r>
  <r>
    <x v="8"/>
    <d v="2016-11-12T00:00:00"/>
    <x v="1"/>
  </r>
  <r>
    <x v="8"/>
    <d v="2016-11-12T00:00:00"/>
    <x v="1"/>
  </r>
  <r>
    <x v="6"/>
    <d v="2016-11-13T00:00:00"/>
    <x v="5"/>
  </r>
  <r>
    <x v="14"/>
    <d v="2016-11-13T00:00:00"/>
    <x v="5"/>
  </r>
  <r>
    <x v="15"/>
    <d v="2016-11-13T00:00:00"/>
    <x v="5"/>
  </r>
  <r>
    <x v="11"/>
    <d v="2016-11-13T00:00:00"/>
    <x v="5"/>
  </r>
  <r>
    <x v="7"/>
    <d v="2016-11-13T00:00:00"/>
    <x v="5"/>
  </r>
  <r>
    <x v="5"/>
    <d v="2016-11-13T00:00:00"/>
    <x v="5"/>
  </r>
  <r>
    <x v="5"/>
    <d v="2016-11-13T00:00:00"/>
    <x v="5"/>
  </r>
  <r>
    <x v="4"/>
    <d v="2016-11-13T00:00:00"/>
    <x v="5"/>
  </r>
  <r>
    <x v="8"/>
    <d v="2016-11-13T00:00:00"/>
    <x v="5"/>
  </r>
  <r>
    <x v="8"/>
    <d v="2016-11-13T00:00:00"/>
    <x v="5"/>
  </r>
  <r>
    <x v="11"/>
    <d v="2016-11-14T00:00:00"/>
    <x v="6"/>
  </r>
  <r>
    <x v="5"/>
    <d v="2016-11-14T00:00:00"/>
    <x v="6"/>
  </r>
  <r>
    <x v="8"/>
    <d v="2016-11-14T00:00:00"/>
    <x v="6"/>
  </r>
  <r>
    <x v="2"/>
    <d v="2016-11-14T00:00:00"/>
    <x v="6"/>
  </r>
  <r>
    <x v="5"/>
    <d v="2016-11-15T00:00:00"/>
    <x v="2"/>
  </r>
  <r>
    <x v="4"/>
    <d v="2016-11-15T00:00:00"/>
    <x v="2"/>
  </r>
  <r>
    <x v="2"/>
    <d v="2016-11-15T00:00:00"/>
    <x v="2"/>
  </r>
  <r>
    <x v="2"/>
    <d v="2016-11-16T00:00:00"/>
    <x v="3"/>
  </r>
  <r>
    <x v="20"/>
    <d v="2016-11-16T00:00:00"/>
    <x v="3"/>
  </r>
  <r>
    <x v="15"/>
    <d v="2016-11-17T00:00:00"/>
    <x v="4"/>
  </r>
  <r>
    <x v="2"/>
    <d v="2016-11-18T00:00:00"/>
    <x v="0"/>
  </r>
  <r>
    <x v="0"/>
    <d v="2016-11-18T00:00:00"/>
    <x v="0"/>
  </r>
  <r>
    <x v="0"/>
    <d v="2016-11-18T00:00:00"/>
    <x v="0"/>
  </r>
  <r>
    <x v="5"/>
    <d v="2016-11-19T00:00:00"/>
    <x v="1"/>
  </r>
  <r>
    <x v="4"/>
    <d v="2016-11-19T00:00:00"/>
    <x v="1"/>
  </r>
  <r>
    <x v="12"/>
    <d v="2016-11-19T00:00:00"/>
    <x v="1"/>
  </r>
  <r>
    <x v="12"/>
    <d v="2016-11-19T00:00:00"/>
    <x v="1"/>
  </r>
  <r>
    <x v="3"/>
    <d v="2016-11-19T00:00:00"/>
    <x v="1"/>
  </r>
  <r>
    <x v="0"/>
    <d v="2016-11-19T00:00:00"/>
    <x v="1"/>
  </r>
  <r>
    <x v="15"/>
    <d v="2016-11-20T00:00:00"/>
    <x v="5"/>
  </r>
  <r>
    <x v="11"/>
    <d v="2016-11-20T00:00:00"/>
    <x v="5"/>
  </r>
  <r>
    <x v="4"/>
    <d v="2016-11-20T00:00:00"/>
    <x v="5"/>
  </r>
  <r>
    <x v="3"/>
    <d v="2016-11-20T00:00:00"/>
    <x v="5"/>
  </r>
  <r>
    <x v="5"/>
    <d v="2016-11-21T00:00:00"/>
    <x v="6"/>
  </r>
  <r>
    <x v="4"/>
    <d v="2016-11-21T00:00:00"/>
    <x v="6"/>
  </r>
  <r>
    <x v="3"/>
    <d v="2016-11-21T00:00:00"/>
    <x v="6"/>
  </r>
  <r>
    <x v="9"/>
    <d v="2016-11-21T00:00:00"/>
    <x v="6"/>
  </r>
  <r>
    <x v="9"/>
    <d v="2016-11-21T00:00:00"/>
    <x v="6"/>
  </r>
  <r>
    <x v="8"/>
    <d v="2016-11-22T00:00:00"/>
    <x v="2"/>
  </r>
  <r>
    <x v="8"/>
    <d v="2016-11-22T00:00:00"/>
    <x v="2"/>
  </r>
  <r>
    <x v="8"/>
    <d v="2016-11-22T00:00:00"/>
    <x v="2"/>
  </r>
  <r>
    <x v="9"/>
    <d v="2016-11-22T00:00:00"/>
    <x v="2"/>
  </r>
  <r>
    <x v="0"/>
    <d v="2016-11-22T00:00:00"/>
    <x v="2"/>
  </r>
  <r>
    <x v="8"/>
    <d v="2016-11-23T00:00:00"/>
    <x v="3"/>
  </r>
  <r>
    <x v="12"/>
    <d v="2016-11-23T00:00:00"/>
    <x v="3"/>
  </r>
  <r>
    <x v="12"/>
    <d v="2016-11-23T00:00:00"/>
    <x v="3"/>
  </r>
  <r>
    <x v="9"/>
    <d v="2016-11-23T00:00:00"/>
    <x v="3"/>
  </r>
  <r>
    <x v="11"/>
    <d v="2016-11-25T00:00:00"/>
    <x v="0"/>
  </r>
  <r>
    <x v="5"/>
    <d v="2016-11-25T00:00:00"/>
    <x v="0"/>
  </r>
  <r>
    <x v="8"/>
    <d v="2016-11-26T00:00:00"/>
    <x v="1"/>
  </r>
  <r>
    <x v="3"/>
    <d v="2016-11-26T00:00:00"/>
    <x v="1"/>
  </r>
  <r>
    <x v="3"/>
    <d v="2016-11-26T00:00:00"/>
    <x v="1"/>
  </r>
  <r>
    <x v="9"/>
    <d v="2016-11-26T00:00:00"/>
    <x v="1"/>
  </r>
  <r>
    <x v="10"/>
    <d v="2016-11-26T00:00:00"/>
    <x v="1"/>
  </r>
  <r>
    <x v="8"/>
    <d v="2016-11-27T00:00:00"/>
    <x v="5"/>
  </r>
  <r>
    <x v="9"/>
    <d v="2016-11-27T00:00:00"/>
    <x v="5"/>
  </r>
  <r>
    <x v="11"/>
    <d v="2016-11-30T00:00:00"/>
    <x v="3"/>
  </r>
  <r>
    <x v="11"/>
    <d v="2016-11-30T00:00:00"/>
    <x v="3"/>
  </r>
  <r>
    <x v="7"/>
    <d v="2016-11-30T00:00:00"/>
    <x v="3"/>
  </r>
  <r>
    <x v="18"/>
    <d v="2016-12-01T00:00:00"/>
    <x v="4"/>
  </r>
  <r>
    <x v="6"/>
    <d v="2016-12-01T00:00:00"/>
    <x v="4"/>
  </r>
  <r>
    <x v="9"/>
    <d v="2016-12-01T00:00:00"/>
    <x v="4"/>
  </r>
  <r>
    <x v="2"/>
    <d v="2016-12-01T00:00:00"/>
    <x v="4"/>
  </r>
  <r>
    <x v="7"/>
    <d v="2016-12-02T00:00:00"/>
    <x v="0"/>
  </r>
  <r>
    <x v="5"/>
    <d v="2016-12-02T00:00:00"/>
    <x v="0"/>
  </r>
  <r>
    <x v="2"/>
    <d v="2016-12-02T00:00:00"/>
    <x v="0"/>
  </r>
  <r>
    <x v="20"/>
    <d v="2016-12-02T00:00:00"/>
    <x v="0"/>
  </r>
  <r>
    <x v="9"/>
    <d v="2016-12-03T00:00:00"/>
    <x v="1"/>
  </r>
  <r>
    <x v="10"/>
    <d v="2016-12-03T00:00:00"/>
    <x v="1"/>
  </r>
  <r>
    <x v="2"/>
    <d v="2016-12-03T00:00:00"/>
    <x v="1"/>
  </r>
  <r>
    <x v="9"/>
    <d v="2016-12-04T00:00:00"/>
    <x v="5"/>
  </r>
  <r>
    <x v="2"/>
    <d v="2016-12-04T00:00:00"/>
    <x v="5"/>
  </r>
  <r>
    <x v="9"/>
    <d v="2016-12-05T00:00:00"/>
    <x v="6"/>
  </r>
  <r>
    <x v="10"/>
    <d v="2016-12-05T00:00:00"/>
    <x v="6"/>
  </r>
  <r>
    <x v="7"/>
    <d v="2016-12-07T00:00:00"/>
    <x v="3"/>
  </r>
  <r>
    <x v="7"/>
    <d v="2016-12-07T00:00:00"/>
    <x v="3"/>
  </r>
  <r>
    <x v="10"/>
    <d v="2016-12-07T00:00:00"/>
    <x v="3"/>
  </r>
  <r>
    <x v="0"/>
    <d v="2016-12-07T00:00:00"/>
    <x v="3"/>
  </r>
  <r>
    <x v="4"/>
    <d v="2016-12-08T00:00:00"/>
    <x v="4"/>
  </r>
  <r>
    <x v="4"/>
    <d v="2016-12-08T00:00:00"/>
    <x v="4"/>
  </r>
  <r>
    <x v="10"/>
    <d v="2016-12-08T00:00:00"/>
    <x v="4"/>
  </r>
  <r>
    <x v="0"/>
    <d v="2016-12-08T00:00:00"/>
    <x v="4"/>
  </r>
  <r>
    <x v="7"/>
    <d v="2016-12-09T00:00:00"/>
    <x v="0"/>
  </r>
  <r>
    <x v="5"/>
    <d v="2016-12-09T00:00:00"/>
    <x v="0"/>
  </r>
  <r>
    <x v="2"/>
    <d v="2016-12-09T00:00:00"/>
    <x v="0"/>
  </r>
  <r>
    <x v="20"/>
    <d v="2016-12-09T00:00:00"/>
    <x v="0"/>
  </r>
  <r>
    <x v="7"/>
    <d v="2016-12-10T00:00:00"/>
    <x v="1"/>
  </r>
  <r>
    <x v="4"/>
    <d v="2016-12-10T00:00:00"/>
    <x v="1"/>
  </r>
  <r>
    <x v="9"/>
    <d v="2016-12-10T00:00:00"/>
    <x v="1"/>
  </r>
  <r>
    <x v="20"/>
    <d v="2016-12-10T00:00:00"/>
    <x v="1"/>
  </r>
  <r>
    <x v="12"/>
    <d v="2016-12-11T00:00:00"/>
    <x v="5"/>
  </r>
  <r>
    <x v="10"/>
    <d v="2016-12-11T00:00:00"/>
    <x v="5"/>
  </r>
  <r>
    <x v="0"/>
    <d v="2016-12-11T00:00:00"/>
    <x v="5"/>
  </r>
  <r>
    <x v="5"/>
    <d v="2016-12-12T00:00:00"/>
    <x v="6"/>
  </r>
  <r>
    <x v="5"/>
    <d v="2016-12-12T00:00:00"/>
    <x v="6"/>
  </r>
  <r>
    <x v="4"/>
    <d v="2016-12-12T00:00:00"/>
    <x v="6"/>
  </r>
  <r>
    <x v="3"/>
    <d v="2016-12-12T00:00:00"/>
    <x v="6"/>
  </r>
  <r>
    <x v="2"/>
    <d v="2016-12-12T00:00:00"/>
    <x v="6"/>
  </r>
  <r>
    <x v="9"/>
    <d v="2016-12-13T00:00:00"/>
    <x v="2"/>
  </r>
  <r>
    <x v="2"/>
    <d v="2016-12-13T00:00:00"/>
    <x v="2"/>
  </r>
  <r>
    <x v="12"/>
    <d v="2016-12-14T00:00:00"/>
    <x v="3"/>
  </r>
  <r>
    <x v="3"/>
    <d v="2016-12-14T00:00:00"/>
    <x v="3"/>
  </r>
  <r>
    <x v="3"/>
    <d v="2016-12-14T00:00:00"/>
    <x v="3"/>
  </r>
  <r>
    <x v="2"/>
    <d v="2016-12-14T00:00:00"/>
    <x v="3"/>
  </r>
  <r>
    <x v="4"/>
    <d v="2016-12-15T00:00:00"/>
    <x v="4"/>
  </r>
  <r>
    <x v="8"/>
    <d v="2016-12-17T00:00:00"/>
    <x v="1"/>
  </r>
  <r>
    <x v="3"/>
    <d v="2016-12-17T00:00:00"/>
    <x v="1"/>
  </r>
  <r>
    <x v="5"/>
    <d v="2016-12-18T00:00:00"/>
    <x v="5"/>
  </r>
  <r>
    <x v="12"/>
    <d v="2016-12-18T00:00:00"/>
    <x v="5"/>
  </r>
  <r>
    <x v="2"/>
    <d v="2016-12-18T00:00:00"/>
    <x v="5"/>
  </r>
  <r>
    <x v="14"/>
    <d v="2016-12-19T00:00:00"/>
    <x v="6"/>
  </r>
  <r>
    <x v="15"/>
    <d v="2016-12-19T00:00:00"/>
    <x v="6"/>
  </r>
  <r>
    <x v="5"/>
    <d v="2016-12-19T00:00:00"/>
    <x v="6"/>
  </r>
  <r>
    <x v="5"/>
    <d v="2016-12-19T00:00:00"/>
    <x v="6"/>
  </r>
  <r>
    <x v="4"/>
    <d v="2016-12-19T00:00:00"/>
    <x v="6"/>
  </r>
  <r>
    <x v="4"/>
    <d v="2016-12-19T00:00:00"/>
    <x v="6"/>
  </r>
  <r>
    <x v="4"/>
    <d v="2016-12-19T00:00:00"/>
    <x v="6"/>
  </r>
  <r>
    <x v="8"/>
    <d v="2016-12-19T00:00:00"/>
    <x v="6"/>
  </r>
  <r>
    <x v="12"/>
    <d v="2016-12-19T00:00:00"/>
    <x v="6"/>
  </r>
  <r>
    <x v="10"/>
    <d v="2016-12-19T00:00:00"/>
    <x v="6"/>
  </r>
  <r>
    <x v="10"/>
    <d v="2016-12-19T00:00:00"/>
    <x v="6"/>
  </r>
  <r>
    <x v="6"/>
    <d v="2016-12-20T00:00:00"/>
    <x v="2"/>
  </r>
  <r>
    <x v="15"/>
    <d v="2016-12-20T00:00:00"/>
    <x v="2"/>
  </r>
  <r>
    <x v="11"/>
    <d v="2016-12-20T00:00:00"/>
    <x v="2"/>
  </r>
  <r>
    <x v="5"/>
    <d v="2016-12-20T00:00:00"/>
    <x v="2"/>
  </r>
  <r>
    <x v="5"/>
    <d v="2016-12-20T00:00:00"/>
    <x v="2"/>
  </r>
  <r>
    <x v="12"/>
    <d v="2016-12-20T00:00:00"/>
    <x v="2"/>
  </r>
  <r>
    <x v="12"/>
    <d v="2016-12-20T00:00:00"/>
    <x v="2"/>
  </r>
  <r>
    <x v="9"/>
    <d v="2016-12-20T00:00:00"/>
    <x v="2"/>
  </r>
  <r>
    <x v="18"/>
    <d v="2016-12-21T00:00:00"/>
    <x v="3"/>
  </r>
  <r>
    <x v="15"/>
    <d v="2016-12-21T00:00:00"/>
    <x v="3"/>
  </r>
  <r>
    <x v="11"/>
    <d v="2016-12-21T00:00:00"/>
    <x v="3"/>
  </r>
  <r>
    <x v="7"/>
    <d v="2016-12-21T00:00:00"/>
    <x v="3"/>
  </r>
  <r>
    <x v="8"/>
    <d v="2016-12-21T00:00:00"/>
    <x v="3"/>
  </r>
  <r>
    <x v="8"/>
    <d v="2016-12-21T00:00:00"/>
    <x v="3"/>
  </r>
  <r>
    <x v="3"/>
    <d v="2016-12-21T00:00:00"/>
    <x v="3"/>
  </r>
  <r>
    <x v="3"/>
    <d v="2016-12-21T00:00:00"/>
    <x v="3"/>
  </r>
  <r>
    <x v="10"/>
    <d v="2016-12-21T00:00:00"/>
    <x v="3"/>
  </r>
  <r>
    <x v="2"/>
    <d v="2016-12-21T00:00:00"/>
    <x v="3"/>
  </r>
  <r>
    <x v="8"/>
    <d v="2016-12-22T00:00:00"/>
    <x v="4"/>
  </r>
  <r>
    <x v="3"/>
    <d v="2016-12-22T00:00:00"/>
    <x v="4"/>
  </r>
  <r>
    <x v="3"/>
    <d v="2016-12-22T00:00:00"/>
    <x v="4"/>
  </r>
  <r>
    <x v="3"/>
    <d v="2016-12-22T00:00:00"/>
    <x v="4"/>
  </r>
  <r>
    <x v="9"/>
    <d v="2016-12-22T00:00:00"/>
    <x v="4"/>
  </r>
  <r>
    <x v="9"/>
    <d v="2016-12-22T00:00:00"/>
    <x v="4"/>
  </r>
  <r>
    <x v="10"/>
    <d v="2016-12-22T00:00:00"/>
    <x v="4"/>
  </r>
  <r>
    <x v="0"/>
    <d v="2016-12-22T00:00:00"/>
    <x v="4"/>
  </r>
  <r>
    <x v="16"/>
    <d v="2016-12-22T00:00:00"/>
    <x v="4"/>
  </r>
  <r>
    <x v="14"/>
    <d v="2016-12-23T00:00:00"/>
    <x v="0"/>
  </r>
  <r>
    <x v="11"/>
    <d v="2016-12-23T00:00:00"/>
    <x v="0"/>
  </r>
  <r>
    <x v="4"/>
    <d v="2016-12-23T00:00:00"/>
    <x v="0"/>
  </r>
  <r>
    <x v="12"/>
    <d v="2016-12-23T00:00:00"/>
    <x v="0"/>
  </r>
  <r>
    <x v="3"/>
    <d v="2016-12-23T00:00:00"/>
    <x v="0"/>
  </r>
  <r>
    <x v="18"/>
    <d v="2016-12-24T00:00:00"/>
    <x v="1"/>
  </r>
  <r>
    <x v="14"/>
    <d v="2016-12-24T00:00:00"/>
    <x v="1"/>
  </r>
  <r>
    <x v="15"/>
    <d v="2016-12-24T00:00:00"/>
    <x v="1"/>
  </r>
  <r>
    <x v="7"/>
    <d v="2016-12-24T00:00:00"/>
    <x v="1"/>
  </r>
  <r>
    <x v="5"/>
    <d v="2016-12-24T00:00:00"/>
    <x v="1"/>
  </r>
  <r>
    <x v="3"/>
    <d v="2016-12-24T00:00:00"/>
    <x v="1"/>
  </r>
  <r>
    <x v="10"/>
    <d v="2016-12-24T00:00:00"/>
    <x v="1"/>
  </r>
  <r>
    <x v="20"/>
    <d v="2016-12-24T00:00:00"/>
    <x v="1"/>
  </r>
  <r>
    <x v="13"/>
    <d v="2016-12-25T00:00:00"/>
    <x v="5"/>
  </r>
  <r>
    <x v="10"/>
    <d v="2016-12-25T00:00:00"/>
    <x v="5"/>
  </r>
  <r>
    <x v="0"/>
    <d v="2016-12-25T00:00:00"/>
    <x v="5"/>
  </r>
  <r>
    <x v="6"/>
    <d v="2016-12-26T00:00:00"/>
    <x v="6"/>
  </r>
  <r>
    <x v="14"/>
    <d v="2016-12-26T00:00:00"/>
    <x v="6"/>
  </r>
  <r>
    <x v="15"/>
    <d v="2016-12-26T00:00:00"/>
    <x v="6"/>
  </r>
  <r>
    <x v="11"/>
    <d v="2016-12-26T00:00:00"/>
    <x v="6"/>
  </r>
  <r>
    <x v="5"/>
    <d v="2016-12-26T00:00:00"/>
    <x v="6"/>
  </r>
  <r>
    <x v="18"/>
    <d v="2016-12-27T00:00:00"/>
    <x v="2"/>
  </r>
  <r>
    <x v="6"/>
    <d v="2016-12-27T00:00:00"/>
    <x v="2"/>
  </r>
  <r>
    <x v="7"/>
    <d v="2016-12-27T00:00:00"/>
    <x v="2"/>
  </r>
  <r>
    <x v="4"/>
    <d v="2016-12-27T00:00:00"/>
    <x v="2"/>
  </r>
  <r>
    <x v="12"/>
    <d v="2016-12-27T00:00:00"/>
    <x v="2"/>
  </r>
  <r>
    <x v="10"/>
    <d v="2016-12-27T00:00:00"/>
    <x v="2"/>
  </r>
  <r>
    <x v="6"/>
    <d v="2016-12-28T00:00:00"/>
    <x v="3"/>
  </r>
  <r>
    <x v="11"/>
    <d v="2016-12-28T00:00:00"/>
    <x v="3"/>
  </r>
  <r>
    <x v="5"/>
    <d v="2016-12-28T00:00:00"/>
    <x v="3"/>
  </r>
  <r>
    <x v="8"/>
    <d v="2016-12-28T00:00:00"/>
    <x v="3"/>
  </r>
  <r>
    <x v="3"/>
    <d v="2016-12-28T00:00:00"/>
    <x v="3"/>
  </r>
  <r>
    <x v="9"/>
    <d v="2016-12-28T00:00:00"/>
    <x v="3"/>
  </r>
  <r>
    <x v="20"/>
    <d v="2016-12-28T00:00:00"/>
    <x v="3"/>
  </r>
  <r>
    <x v="13"/>
    <d v="2016-12-29T00:00:00"/>
    <x v="4"/>
  </r>
  <r>
    <x v="14"/>
    <d v="2016-12-29T00:00:00"/>
    <x v="4"/>
  </r>
  <r>
    <x v="11"/>
    <d v="2016-12-29T00:00:00"/>
    <x v="4"/>
  </r>
  <r>
    <x v="7"/>
    <d v="2016-12-29T00:00:00"/>
    <x v="4"/>
  </r>
  <r>
    <x v="5"/>
    <d v="2016-12-29T00:00:00"/>
    <x v="4"/>
  </r>
  <r>
    <x v="5"/>
    <d v="2016-12-29T00:00:00"/>
    <x v="4"/>
  </r>
  <r>
    <x v="4"/>
    <d v="2016-12-29T00:00:00"/>
    <x v="4"/>
  </r>
  <r>
    <x v="8"/>
    <d v="2016-12-29T00:00:00"/>
    <x v="4"/>
  </r>
  <r>
    <x v="9"/>
    <d v="2016-12-29T00:00:00"/>
    <x v="4"/>
  </r>
  <r>
    <x v="10"/>
    <d v="2016-12-29T00:00:00"/>
    <x v="4"/>
  </r>
  <r>
    <x v="2"/>
    <d v="2016-12-29T00:00:00"/>
    <x v="4"/>
  </r>
  <r>
    <x v="2"/>
    <d v="2016-12-29T00:00:00"/>
    <x v="4"/>
  </r>
  <r>
    <x v="16"/>
    <d v="2016-12-29T00:00:00"/>
    <x v="4"/>
  </r>
  <r>
    <x v="15"/>
    <d v="2016-12-30T00:00:00"/>
    <x v="0"/>
  </r>
  <r>
    <x v="11"/>
    <d v="2016-12-30T00:00:00"/>
    <x v="0"/>
  </r>
  <r>
    <x v="8"/>
    <d v="2016-12-30T00:00:00"/>
    <x v="0"/>
  </r>
  <r>
    <x v="12"/>
    <d v="2016-12-30T00:00:00"/>
    <x v="0"/>
  </r>
  <r>
    <x v="16"/>
    <d v="2016-12-30T00:00:00"/>
    <x v="0"/>
  </r>
  <r>
    <x v="1"/>
    <d v="2016-12-31T00:00:00"/>
    <x v="1"/>
  </r>
  <r>
    <x v="5"/>
    <d v="2016-12-31T00:00:00"/>
    <x v="1"/>
  </r>
  <r>
    <x v="8"/>
    <d v="2016-12-31T00:00:00"/>
    <x v="1"/>
  </r>
  <r>
    <x v="0"/>
    <d v="2016-12-31T00:00:00"/>
    <x v="1"/>
  </r>
  <r>
    <x v="20"/>
    <d v="2016-12-31T00:00: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6">
  <r>
    <d v="2016-01-01T21:11:00"/>
    <d v="2016-01-01T21:17:00"/>
    <s v="Business"/>
    <s v="Fort Pierce"/>
    <s v="Fort Pierce"/>
    <x v="0"/>
    <x v="0"/>
  </r>
  <r>
    <d v="2016-01-02T01:25:00"/>
    <d v="2016-01-02T01:37:00"/>
    <s v="Business"/>
    <s v="Fort Pierce"/>
    <s v="Fort Pierce"/>
    <x v="1"/>
    <x v="1"/>
  </r>
  <r>
    <d v="2016-01-02T20:25:00"/>
    <d v="2016-01-02T20:38:00"/>
    <s v="Business"/>
    <s v="Fort Pierce"/>
    <s v="Fort Pierce"/>
    <x v="2"/>
    <x v="2"/>
  </r>
  <r>
    <d v="2016-01-05T17:31:00"/>
    <d v="2016-01-05T17:45:00"/>
    <s v="Business"/>
    <s v="Fort Pierce"/>
    <s v="Fort Pierce"/>
    <x v="3"/>
    <x v="3"/>
  </r>
  <r>
    <d v="2016-01-06T14:42:00"/>
    <d v="2016-01-06T15:49:00"/>
    <s v="Business"/>
    <s v="Fort Pierce"/>
    <s v="West Palm Beach"/>
    <x v="4"/>
    <x v="4"/>
  </r>
  <r>
    <d v="2016-01-06T17:15:00"/>
    <d v="2016-01-06T17:19:00"/>
    <s v="Business"/>
    <s v="West Palm Beach"/>
    <s v="West Palm Beach"/>
    <x v="5"/>
    <x v="0"/>
  </r>
  <r>
    <d v="2016-01-06T17:30:00"/>
    <d v="2016-01-06T17:35:00"/>
    <s v="Business"/>
    <s v="West Palm Beach"/>
    <s v="Palm Beach"/>
    <x v="6"/>
    <x v="3"/>
  </r>
  <r>
    <d v="2016-01-07T13:27:00"/>
    <d v="2016-01-07T13:33:00"/>
    <s v="Business"/>
    <s v="Cary"/>
    <s v="Cary"/>
    <x v="7"/>
    <x v="3"/>
  </r>
  <r>
    <d v="2016-01-10T08:05:00"/>
    <d v="2016-01-10T08:25:00"/>
    <s v="Business"/>
    <s v="Cary"/>
    <s v="Morrisville"/>
    <x v="8"/>
    <x v="3"/>
  </r>
  <r>
    <d v="2016-01-10T12:17:00"/>
    <d v="2016-01-10T12:44:00"/>
    <s v="Business"/>
    <s v="Jamaica"/>
    <s v="New York"/>
    <x v="9"/>
    <x v="4"/>
  </r>
  <r>
    <d v="2016-01-10T15:08:00"/>
    <d v="2016-01-10T15:51:00"/>
    <s v="Business"/>
    <s v="New York"/>
    <s v="Queens"/>
    <x v="10"/>
    <x v="3"/>
  </r>
  <r>
    <d v="2016-01-10T18:18:00"/>
    <d v="2016-01-10T18:53:00"/>
    <s v="Business"/>
    <s v="Elmhurst"/>
    <s v="New York"/>
    <x v="11"/>
    <x v="3"/>
  </r>
  <r>
    <d v="2016-01-10T19:12:00"/>
    <d v="2016-01-10T19:32:00"/>
    <s v="Business"/>
    <s v="Midtown"/>
    <s v="East Harlem"/>
    <x v="12"/>
    <x v="3"/>
  </r>
  <r>
    <d v="2016-01-11T08:55:00"/>
    <d v="2016-01-11T09:21:00"/>
    <s v="Business"/>
    <s v="East Harlem"/>
    <s v="NoMad"/>
    <x v="13"/>
    <x v="5"/>
  </r>
  <r>
    <d v="2016-01-11T11:56:00"/>
    <d v="2016-01-11T12:03:00"/>
    <s v="Business"/>
    <s v="Flatiron District"/>
    <s v="Midtown"/>
    <x v="14"/>
    <x v="2"/>
  </r>
  <r>
    <d v="2016-01-11T13:32:00"/>
    <d v="2016-01-11T13:46:00"/>
    <s v="Business"/>
    <s v="Midtown"/>
    <s v="Midtown East"/>
    <x v="15"/>
    <x v="0"/>
  </r>
  <r>
    <d v="2016-01-11T14:30:00"/>
    <d v="2016-01-11T14:43:00"/>
    <s v="Business"/>
    <s v="Midtown East"/>
    <s v="Midtown"/>
    <x v="16"/>
    <x v="0"/>
  </r>
  <r>
    <d v="2016-01-12T12:33:00"/>
    <d v="2016-01-12T12:49:00"/>
    <s v="Business"/>
    <s v="Midtown"/>
    <s v="Hudson Square"/>
    <x v="16"/>
    <x v="0"/>
  </r>
  <r>
    <d v="2016-01-12T12:53:00"/>
    <d v="2016-01-12T13:09:00"/>
    <s v="Business"/>
    <s v="Hudson Square"/>
    <s v="Lower Manhattan"/>
    <x v="17"/>
    <x v="0"/>
  </r>
  <r>
    <d v="2016-01-12T14:42:00"/>
    <d v="2016-01-12T14:56:00"/>
    <s v="Business"/>
    <s v="Lower Manhattan"/>
    <s v="Hudson Square"/>
    <x v="18"/>
    <x v="2"/>
  </r>
  <r>
    <d v="2016-01-12T15:13:00"/>
    <d v="2016-01-12T15:28:00"/>
    <s v="Business"/>
    <s v="Hudson Square"/>
    <s v="Hell's Kitchen"/>
    <x v="19"/>
    <x v="4"/>
  </r>
  <r>
    <d v="2016-01-12T15:42:00"/>
    <d v="2016-01-12T15:54:00"/>
    <s v="Business"/>
    <s v="Hell's Kitchen"/>
    <s v="Midtown"/>
    <x v="20"/>
    <x v="2"/>
  </r>
  <r>
    <d v="2016-01-12T16:02:00"/>
    <d v="2016-01-12T17:00:00"/>
    <s v="Business"/>
    <s v="New York"/>
    <s v="Queens County"/>
    <x v="21"/>
    <x v="3"/>
  </r>
  <r>
    <d v="2016-01-13T13:54:00"/>
    <d v="2016-01-13T14:07:00"/>
    <s v="Business"/>
    <s v="Downtown"/>
    <s v="Gulfton"/>
    <x v="22"/>
    <x v="3"/>
  </r>
  <r>
    <d v="2016-01-13T15:00:00"/>
    <d v="2016-01-13T15:28:00"/>
    <s v="Business"/>
    <s v="Gulfton"/>
    <s v="Downtown"/>
    <x v="23"/>
    <x v="3"/>
  </r>
  <r>
    <d v="2016-01-14T16:29:00"/>
    <d v="2016-01-14T17:05:00"/>
    <s v="Business"/>
    <s v="Houston"/>
    <s v="Houston"/>
    <x v="24"/>
    <x v="4"/>
  </r>
  <r>
    <d v="2016-01-14T21:39:00"/>
    <d v="2016-01-14T21:45:00"/>
    <s v="Business"/>
    <s v="Eagan Park"/>
    <s v="Jamestown Court"/>
    <x v="25"/>
    <x v="2"/>
  </r>
  <r>
    <d v="2016-01-15T00:41:00"/>
    <d v="2016-01-15T01:01:00"/>
    <s v="Business"/>
    <s v="Morrisville"/>
    <s v="Cary"/>
    <x v="26"/>
    <x v="2"/>
  </r>
  <r>
    <d v="2016-01-15T11:43:00"/>
    <d v="2016-01-15T12:03:00"/>
    <s v="Business"/>
    <s v="Cary"/>
    <s v="Durham"/>
    <x v="27"/>
    <x v="0"/>
  </r>
  <r>
    <d v="2016-01-15T13:26:00"/>
    <d v="2016-01-15T13:44:00"/>
    <s v="Business"/>
    <s v="Durham"/>
    <s v="Cary"/>
    <x v="27"/>
    <x v="0"/>
  </r>
  <r>
    <d v="2016-01-18T14:55:00"/>
    <d v="2016-01-18T15:06:00"/>
    <s v="Business"/>
    <s v="Cary"/>
    <s v="Cary"/>
    <x v="2"/>
    <x v="0"/>
  </r>
  <r>
    <d v="2016-01-18T16:13:00"/>
    <d v="2016-01-18T16:24:00"/>
    <s v="Business"/>
    <s v="Farmington Woods"/>
    <s v="Whitebridge"/>
    <x v="3"/>
    <x v="0"/>
  </r>
  <r>
    <d v="2016-01-19T09:09:00"/>
    <d v="2016-01-19T09:23:00"/>
    <s v="Business"/>
    <s v="Whitebridge"/>
    <s v="Lake Wellingborough"/>
    <x v="28"/>
    <x v="1"/>
  </r>
  <r>
    <d v="2016-01-19T10:55:00"/>
    <d v="2016-01-19T11:09:00"/>
    <s v="Business"/>
    <s v="Lake Wellingborough"/>
    <s v="Whitebridge"/>
    <x v="29"/>
    <x v="5"/>
  </r>
  <r>
    <d v="2016-01-20T10:36:00"/>
    <d v="2016-01-20T11:11:00"/>
    <s v="Business"/>
    <s v="Cary"/>
    <s v="Raleigh"/>
    <x v="30"/>
    <x v="3"/>
  </r>
  <r>
    <d v="2016-01-20T11:48:00"/>
    <d v="2016-01-20T12:19:00"/>
    <s v="Business"/>
    <s v="Fayetteville Street"/>
    <s v="Umstead"/>
    <x v="21"/>
    <x v="3"/>
  </r>
  <r>
    <d v="2016-01-20T13:25:00"/>
    <d v="2016-01-20T14:19:00"/>
    <s v="Business"/>
    <s v="Raleigh"/>
    <s v="Cary"/>
    <x v="31"/>
    <x v="4"/>
  </r>
  <r>
    <d v="2016-01-21T14:25:00"/>
    <d v="2016-01-21T14:29:00"/>
    <s v="Business"/>
    <s v="Cary"/>
    <s v="Cary"/>
    <x v="14"/>
    <x v="2"/>
  </r>
  <r>
    <d v="2016-01-21T14:43:00"/>
    <d v="2016-01-21T14:51:00"/>
    <s v="Business"/>
    <s v="Cary"/>
    <s v="Cary"/>
    <x v="19"/>
    <x v="0"/>
  </r>
  <r>
    <d v="2016-01-21T16:01:00"/>
    <d v="2016-01-21T16:06:00"/>
    <s v="Business"/>
    <s v="Cary"/>
    <s v="Cary"/>
    <x v="32"/>
    <x v="0"/>
  </r>
  <r>
    <d v="2016-01-26T10:41:00"/>
    <d v="2016-01-26T10:50:00"/>
    <s v="Business"/>
    <s v="Whitebridge"/>
    <s v="Hazelwood"/>
    <x v="20"/>
    <x v="0"/>
  </r>
  <r>
    <d v="2016-01-26T12:33:00"/>
    <d v="2016-01-26T12:41:00"/>
    <s v="Business"/>
    <s v="Hazelwood"/>
    <s v="Whitebridge"/>
    <x v="33"/>
    <x v="2"/>
  </r>
  <r>
    <d v="2016-01-26T16:24:00"/>
    <d v="2016-01-26T16:32:00"/>
    <s v="Business"/>
    <s v="Whitebridge"/>
    <s v="Westpark Place"/>
    <x v="16"/>
    <x v="2"/>
  </r>
  <r>
    <d v="2016-01-26T17:17:00"/>
    <d v="2016-01-26T17:22:00"/>
    <s v="Business"/>
    <s v="Cary"/>
    <s v="Cary"/>
    <x v="34"/>
    <x v="2"/>
  </r>
  <r>
    <d v="2016-01-26T17:27:00"/>
    <d v="2016-01-26T17:29:00"/>
    <s v="Business"/>
    <s v="Cary"/>
    <s v="Cary"/>
    <x v="35"/>
    <x v="2"/>
  </r>
  <r>
    <d v="2016-01-27T09:24:00"/>
    <d v="2016-01-27T09:31:00"/>
    <s v="Business"/>
    <s v="Cary"/>
    <s v="Cary"/>
    <x v="18"/>
    <x v="3"/>
  </r>
  <r>
    <d v="2016-01-27T10:19:00"/>
    <d v="2016-01-27T10:48:00"/>
    <s v="Business"/>
    <s v="Cary"/>
    <s v="Raleigh"/>
    <x v="36"/>
    <x v="4"/>
  </r>
  <r>
    <d v="2016-01-27T12:34:00"/>
    <d v="2016-01-27T12:44:00"/>
    <s v="Business"/>
    <s v="Fairmont"/>
    <s v="Meredith Townes"/>
    <x v="37"/>
    <x v="4"/>
  </r>
  <r>
    <d v="2016-01-27T14:05:00"/>
    <d v="2016-01-27T14:13:00"/>
    <s v="Business"/>
    <s v="Raleigh"/>
    <s v="Raleigh"/>
    <x v="38"/>
    <x v="4"/>
  </r>
  <r>
    <d v="2016-01-27T14:46:00"/>
    <d v="2016-01-27T15:08:00"/>
    <s v="Business"/>
    <s v="Raleigh"/>
    <s v="Cary"/>
    <x v="39"/>
    <x v="4"/>
  </r>
  <r>
    <d v="2016-01-28T12:28:00"/>
    <d v="2016-01-28T13:00:00"/>
    <s v="Business"/>
    <s v="Cary"/>
    <s v="Raleigh"/>
    <x v="40"/>
    <x v="5"/>
  </r>
  <r>
    <d v="2016-01-28T15:11:00"/>
    <d v="2016-01-28T15:31:00"/>
    <s v="Business"/>
    <s v="Meredith Townes"/>
    <s v="Leesville Hollow"/>
    <x v="41"/>
    <x v="3"/>
  </r>
  <r>
    <d v="2016-01-28T16:21:00"/>
    <d v="2016-01-28T16:51:00"/>
    <s v="Business"/>
    <s v="Raleigh"/>
    <s v="Cary"/>
    <x v="42"/>
    <x v="3"/>
  </r>
  <r>
    <d v="2016-01-29T09:31:00"/>
    <d v="2016-01-29T09:45:00"/>
    <s v="Business"/>
    <s v="Cary"/>
    <s v="Cary"/>
    <x v="43"/>
    <x v="4"/>
  </r>
  <r>
    <d v="2016-01-29T10:56:00"/>
    <d v="2016-01-29T11:07:00"/>
    <s v="Business"/>
    <s v="Cary"/>
    <s v="Cary"/>
    <x v="44"/>
    <x v="3"/>
  </r>
  <r>
    <d v="2016-01-29T11:43:00"/>
    <d v="2016-01-29T12:03:00"/>
    <s v="Business"/>
    <s v="Cary"/>
    <s v="Durham"/>
    <x v="27"/>
    <x v="3"/>
  </r>
  <r>
    <d v="2016-01-29T13:24:00"/>
    <d v="2016-01-29T13:47:00"/>
    <s v="Business"/>
    <s v="Durham"/>
    <s v="Cary"/>
    <x v="45"/>
    <x v="3"/>
  </r>
  <r>
    <d v="2016-01-29T18:31:00"/>
    <d v="2016-01-29T18:52:00"/>
    <s v="Business"/>
    <s v="Cary"/>
    <s v="Apex"/>
    <x v="46"/>
    <x v="2"/>
  </r>
  <r>
    <d v="2016-01-29T21:21:00"/>
    <d v="2016-01-29T21:40:00"/>
    <s v="Business"/>
    <s v="Apex"/>
    <s v="Cary"/>
    <x v="47"/>
    <x v="0"/>
  </r>
  <r>
    <d v="2016-01-30T16:21:00"/>
    <d v="2016-01-30T16:33:00"/>
    <s v="Business"/>
    <s v="Cary"/>
    <s v="Apex"/>
    <x v="48"/>
    <x v="2"/>
  </r>
  <r>
    <d v="2016-01-30T18:09:00"/>
    <d v="2016-01-30T18:24:00"/>
    <s v="Business"/>
    <s v="Apex"/>
    <s v="Cary"/>
    <x v="48"/>
    <x v="4"/>
  </r>
  <r>
    <d v="2016-02-01T10:35:00"/>
    <d v="2016-02-01T11:15:00"/>
    <s v="Business"/>
    <s v="Cary"/>
    <s v="Chapel Hill"/>
    <x v="49"/>
    <x v="4"/>
  </r>
  <r>
    <d v="2016-02-01T12:10:00"/>
    <d v="2016-02-01T12:43:00"/>
    <s v="Business"/>
    <s v="Chapel Hill"/>
    <s v="Cary"/>
    <x v="50"/>
    <x v="4"/>
  </r>
  <r>
    <d v="2016-02-01T12:56:00"/>
    <d v="2016-02-01T13:07:00"/>
    <s v="Business"/>
    <s v="Northwoods"/>
    <s v="Whitebridge"/>
    <x v="25"/>
    <x v="0"/>
  </r>
  <r>
    <d v="2016-02-02T13:04:00"/>
    <d v="2016-02-02T13:23:00"/>
    <s v="Business"/>
    <s v="Whitebridge"/>
    <s v="Williamsburg Manor"/>
    <x v="8"/>
    <x v="3"/>
  </r>
  <r>
    <d v="2016-02-02T13:51:00"/>
    <d v="2016-02-02T14:06:00"/>
    <s v="Business"/>
    <s v="Cary"/>
    <s v="Cary"/>
    <x v="51"/>
    <x v="2"/>
  </r>
  <r>
    <d v="2016-02-02T14:38:00"/>
    <d v="2016-02-02T14:42:00"/>
    <s v="Business"/>
    <s v="Cary"/>
    <s v="Cary"/>
    <x v="14"/>
    <x v="2"/>
  </r>
  <r>
    <d v="2016-02-04T08:40:00"/>
    <d v="2016-02-04T09:01:00"/>
    <s v="Business"/>
    <s v="Cary"/>
    <s v="Morrisville"/>
    <x v="44"/>
    <x v="2"/>
  </r>
  <r>
    <d v="2016-02-04T09:37:00"/>
    <d v="2016-02-04T10:09:00"/>
    <s v="Business"/>
    <s v="Morrisville"/>
    <s v="Cary"/>
    <x v="52"/>
    <x v="0"/>
  </r>
  <r>
    <d v="2016-02-04T10:26:00"/>
    <d v="2016-02-04T10:32:00"/>
    <s v="Business"/>
    <s v="Cary"/>
    <s v="Cary"/>
    <x v="14"/>
    <x v="0"/>
  </r>
  <r>
    <d v="2016-02-04T15:59:00"/>
    <d v="2016-02-04T16:03:00"/>
    <s v="Business"/>
    <s v="Cary"/>
    <s v="Cary"/>
    <x v="53"/>
    <x v="0"/>
  </r>
  <r>
    <d v="2016-02-04T16:35:00"/>
    <d v="2016-02-04T16:39:00"/>
    <s v="Business"/>
    <s v="Cary"/>
    <s v="Cary"/>
    <x v="14"/>
    <x v="0"/>
  </r>
  <r>
    <d v="2016-02-04T18:04:00"/>
    <d v="2016-02-04T18:31:00"/>
    <s v="Business"/>
    <s v="Whitebridge"/>
    <s v="Macgregor Downs"/>
    <x v="54"/>
    <x v="3"/>
  </r>
  <r>
    <d v="2016-02-04T20:36:00"/>
    <d v="2016-02-04T20:55:00"/>
    <s v="Business"/>
    <s v="Cary"/>
    <s v="Cary"/>
    <x v="55"/>
    <x v="3"/>
  </r>
  <r>
    <d v="2016-02-05T11:47:00"/>
    <d v="2016-02-05T12:07:00"/>
    <s v="Business"/>
    <s v="Cary"/>
    <s v="Durham"/>
    <x v="27"/>
    <x v="3"/>
  </r>
  <r>
    <d v="2016-02-05T13:22:00"/>
    <d v="2016-02-05T13:41:00"/>
    <s v="Business"/>
    <s v="Durham"/>
    <s v="Cary"/>
    <x v="27"/>
    <x v="3"/>
  </r>
  <r>
    <d v="2016-02-06T16:20:00"/>
    <d v="2016-02-06T16:53:00"/>
    <s v="Business"/>
    <s v="Cary"/>
    <s v="Raleigh"/>
    <x v="56"/>
    <x v="6"/>
  </r>
  <r>
    <d v="2016-02-06T18:57:00"/>
    <d v="2016-02-06T19:21:00"/>
    <s v="Business"/>
    <s v="Raleigh"/>
    <s v="Cary"/>
    <x v="54"/>
    <x v="2"/>
  </r>
  <r>
    <d v="2016-02-06T19:28:00"/>
    <d v="2016-02-06T19:37:00"/>
    <s v="Business"/>
    <s v="Edgehill Farms"/>
    <s v="Whitebridge"/>
    <x v="57"/>
    <x v="0"/>
  </r>
  <r>
    <d v="2016-02-07T16:49:00"/>
    <d v="2016-02-07T17:01:00"/>
    <s v="Business"/>
    <s v="Cary"/>
    <s v="Apex"/>
    <x v="58"/>
    <x v="2"/>
  </r>
  <r>
    <d v="2016-02-07T18:03:00"/>
    <d v="2016-02-07T18:17:00"/>
    <s v="Business"/>
    <s v="Apex"/>
    <s v="Cary"/>
    <x v="48"/>
    <x v="4"/>
  </r>
  <r>
    <d v="2016-02-07T18:39:00"/>
    <d v="2016-02-07T18:53:00"/>
    <s v="Business"/>
    <s v="Cary"/>
    <s v="Morrisville"/>
    <x v="59"/>
    <x v="5"/>
  </r>
  <r>
    <d v="2016-02-07T20:22:00"/>
    <d v="2016-02-07T20:40:00"/>
    <s v="Business"/>
    <s v="Morrisville"/>
    <s v="Cary"/>
    <x v="59"/>
    <x v="3"/>
  </r>
  <r>
    <d v="2016-02-08T12:57:00"/>
    <d v="2016-02-08T13:08:00"/>
    <s v="Business"/>
    <s v="Whitebridge"/>
    <s v="Edgehill Farms"/>
    <x v="5"/>
    <x v="0"/>
  </r>
  <r>
    <d v="2016-02-08T14:00:00"/>
    <d v="2016-02-08T14:10:00"/>
    <s v="Business"/>
    <s v="Edgehill Farms"/>
    <s v="Whitebridge"/>
    <x v="38"/>
    <x v="0"/>
  </r>
  <r>
    <d v="2016-02-09T10:54:00"/>
    <d v="2016-02-09T11:07:00"/>
    <s v="Personal"/>
    <s v="Whitebridge"/>
    <s v="Northwoods"/>
    <x v="60"/>
    <x v="1"/>
  </r>
  <r>
    <d v="2016-02-09T11:43:00"/>
    <d v="2016-02-09T11:50:00"/>
    <s v="Personal"/>
    <s v="Northwoods"/>
    <s v="Tanglewood"/>
    <x v="61"/>
    <x v="1"/>
  </r>
  <r>
    <d v="2016-02-09T13:36:00"/>
    <d v="2016-02-09T13:52:00"/>
    <s v="Personal"/>
    <s v="Tanglewood"/>
    <s v="Preston"/>
    <x v="0"/>
    <x v="1"/>
  </r>
  <r>
    <d v="2016-02-09T13:58:00"/>
    <d v="2016-02-09T14:02:00"/>
    <s v="Personal"/>
    <s v="Preston"/>
    <s v="Whitebridge"/>
    <x v="62"/>
    <x v="1"/>
  </r>
  <r>
    <d v="2016-02-09T18:55:00"/>
    <d v="2016-02-09T19:11:00"/>
    <s v="Business"/>
    <s v="Cary"/>
    <s v="Morrisville"/>
    <x v="59"/>
    <x v="1"/>
  </r>
  <r>
    <d v="2016-02-09T20:24:00"/>
    <d v="2016-02-09T20:40:00"/>
    <s v="Business"/>
    <s v="Morrisville"/>
    <s v="Cary"/>
    <x v="59"/>
    <x v="0"/>
  </r>
  <r>
    <d v="2016-02-11T16:28:00"/>
    <d v="2016-02-11T17:10:00"/>
    <s v="Business"/>
    <s v="Cary"/>
    <s v="Raleigh"/>
    <x v="63"/>
    <x v="0"/>
  </r>
  <r>
    <d v="2016-02-11T17:49:00"/>
    <d v="2016-02-11T18:10:00"/>
    <s v="Business"/>
    <s v="Eastgate"/>
    <s v="Walnut Terrace"/>
    <x v="48"/>
    <x v="0"/>
  </r>
  <r>
    <d v="2016-02-11T18:24:00"/>
    <d v="2016-02-11T18:46:00"/>
    <s v="Business"/>
    <s v="Raleigh"/>
    <s v="Morrisville"/>
    <x v="64"/>
    <x v="5"/>
  </r>
  <r>
    <d v="2016-02-11T20:36:00"/>
    <d v="2016-02-11T20:51:00"/>
    <s v="Business"/>
    <s v="Morrisville"/>
    <s v="Cary"/>
    <x v="59"/>
    <x v="5"/>
  </r>
  <r>
    <d v="2016-02-12T08:21:00"/>
    <d v="2016-02-12T08:42:00"/>
    <s v="Business"/>
    <s v="Cary"/>
    <s v="Durham"/>
    <x v="65"/>
    <x v="5"/>
  </r>
  <r>
    <d v="2016-02-12T10:45:00"/>
    <d v="2016-02-12T10:52:00"/>
    <s v="Business"/>
    <s v="Durham"/>
    <s v="Morrisville"/>
    <x v="66"/>
    <x v="5"/>
  </r>
  <r>
    <d v="2016-02-12T11:14:00"/>
    <d v="2016-02-12T11:35:00"/>
    <s v="Business"/>
    <s v="Morrisville"/>
    <s v="Raleigh"/>
    <x v="67"/>
    <x v="4"/>
  </r>
  <r>
    <d v="2016-02-12T13:02:00"/>
    <d v="2016-02-12T13:36:00"/>
    <s v="Business"/>
    <s v="Raleigh"/>
    <s v="Cary"/>
    <x v="68"/>
    <x v="3"/>
  </r>
  <r>
    <d v="2016-02-12T14:49:00"/>
    <d v="2016-02-12T15:06:00"/>
    <s v="Business"/>
    <s v="Cary"/>
    <s v="Morrisville"/>
    <x v="69"/>
    <x v="3"/>
  </r>
  <r>
    <d v="2016-02-12T15:33:00"/>
    <d v="2016-02-12T16:06:00"/>
    <s v="Business"/>
    <s v="Morrisville"/>
    <s v="Cary"/>
    <x v="70"/>
    <x v="4"/>
  </r>
  <r>
    <d v="2016-02-13T14:21:00"/>
    <d v="2016-02-13T14:41:00"/>
    <s v="Business"/>
    <s v="Cary"/>
    <s v="Morrisville"/>
    <x v="71"/>
    <x v="3"/>
  </r>
  <r>
    <d v="2016-02-13T23:45:00"/>
    <d v="2016-02-14T00:01:00"/>
    <s v="Personal"/>
    <s v="East Elmhurst"/>
    <s v="Jackson Heights"/>
    <x v="38"/>
    <x v="1"/>
  </r>
  <r>
    <d v="2016-02-14T00:50:00"/>
    <d v="2016-02-14T01:00:00"/>
    <s v="Personal"/>
    <s v="Jackson Heights"/>
    <s v="East Elmhurst"/>
    <x v="18"/>
    <x v="1"/>
  </r>
  <r>
    <d v="2016-02-14T14:07:00"/>
    <d v="2016-02-14T14:40:00"/>
    <s v="Business"/>
    <s v="East Elmhurst"/>
    <s v="New York"/>
    <x v="72"/>
    <x v="3"/>
  </r>
  <r>
    <d v="2016-02-14T14:46:00"/>
    <d v="2016-02-14T15:03:00"/>
    <s v="Business"/>
    <s v="Midtown"/>
    <s v="Midtown West"/>
    <x v="20"/>
    <x v="3"/>
  </r>
  <r>
    <d v="2016-02-14T16:35:00"/>
    <d v="2016-02-14T17:02:00"/>
    <s v="Business"/>
    <s v="New York"/>
    <s v="Long Island City"/>
    <x v="73"/>
    <x v="3"/>
  </r>
  <r>
    <d v="2016-02-14T17:06:00"/>
    <d v="2016-02-14T17:29:00"/>
    <s v="Business"/>
    <s v="Long Island City"/>
    <s v="Jamaica"/>
    <x v="74"/>
    <x v="3"/>
  </r>
  <r>
    <d v="2016-02-16T03:21:00"/>
    <d v="2016-02-16T04:13:00"/>
    <s v="Business"/>
    <s v="Katunayaka"/>
    <s v="Unknown Location"/>
    <x v="75"/>
    <x v="4"/>
  </r>
  <r>
    <d v="2016-02-16T08:29:00"/>
    <d v="2016-02-16T09:34:00"/>
    <s v="Business"/>
    <s v="Unknown Location"/>
    <s v="Colombo"/>
    <x v="76"/>
    <x v="1"/>
  </r>
  <r>
    <d v="2016-02-16T10:31:00"/>
    <d v="2016-02-16T10:41:00"/>
    <s v="Business"/>
    <s v="Colombo"/>
    <s v="Colombo"/>
    <x v="66"/>
    <x v="1"/>
  </r>
  <r>
    <d v="2016-02-16T11:32:00"/>
    <d v="2016-02-16T12:02:00"/>
    <s v="Business"/>
    <s v="Colombo"/>
    <s v="Colombo"/>
    <x v="77"/>
    <x v="1"/>
  </r>
  <r>
    <d v="2016-02-16T12:39:00"/>
    <d v="2016-02-16T12:42:00"/>
    <s v="Business"/>
    <s v="Colombo"/>
    <s v="Colombo"/>
    <x v="15"/>
    <x v="1"/>
  </r>
  <r>
    <d v="2016-02-16T13:43:00"/>
    <d v="2016-02-16T13:55:00"/>
    <s v="Business"/>
    <s v="Colombo"/>
    <s v="Colombo"/>
    <x v="18"/>
    <x v="5"/>
  </r>
  <r>
    <d v="2016-02-16T16:34:00"/>
    <d v="2016-02-16T17:10:00"/>
    <s v="Business"/>
    <s v="Colombo"/>
    <s v="Colombo"/>
    <x v="51"/>
    <x v="1"/>
  </r>
  <r>
    <d v="2016-02-16T17:17:00"/>
    <d v="2016-02-16T17:26:00"/>
    <s v="Business"/>
    <s v="Colombo"/>
    <s v="Nugegoda"/>
    <x v="53"/>
    <x v="0"/>
  </r>
  <r>
    <d v="2016-02-16T17:40:00"/>
    <d v="2016-02-16T17:44:00"/>
    <s v="Business"/>
    <s v="Nugegoda"/>
    <s v="Unknown Location"/>
    <x v="78"/>
    <x v="2"/>
  </r>
  <r>
    <d v="2016-02-17T13:18:00"/>
    <d v="2016-02-17T14:04:00"/>
    <s v="Business"/>
    <s v="Unknown Location"/>
    <s v="Colombo"/>
    <x v="41"/>
    <x v="5"/>
  </r>
  <r>
    <d v="2016-02-17T15:17:00"/>
    <d v="2016-02-17T15:22:00"/>
    <s v="Business"/>
    <s v="Colombo"/>
    <s v="Colombo"/>
    <x v="15"/>
    <x v="0"/>
  </r>
  <r>
    <d v="2016-02-17T15:33:00"/>
    <d v="2016-02-17T16:17:00"/>
    <s v="Business"/>
    <s v="Colombo"/>
    <s v="Katunayaka"/>
    <x v="79"/>
    <x v="5"/>
  </r>
  <r>
    <d v="2016-02-17T16:38:00"/>
    <d v="2016-02-17T16:43:00"/>
    <s v="Business"/>
    <s v="Katunayaka"/>
    <s v="Katunayaka"/>
    <x v="35"/>
    <x v="2"/>
  </r>
  <r>
    <d v="2016-02-18T08:19:00"/>
    <d v="2016-02-18T08:27:00"/>
    <s v="Business"/>
    <s v="Unknown Location"/>
    <s v="Unknown Location"/>
    <x v="80"/>
    <x v="5"/>
  </r>
  <r>
    <d v="2016-02-18T14:03:00"/>
    <d v="2016-02-18T14:45:00"/>
    <s v="Business"/>
    <s v="Unknown Location"/>
    <s v="Islamabad"/>
    <x v="81"/>
    <x v="5"/>
  </r>
  <r>
    <d v="2016-02-18T15:16:00"/>
    <d v="2016-02-18T15:31:00"/>
    <s v="Business"/>
    <s v="Islamabad"/>
    <s v="Unknown Location"/>
    <x v="51"/>
    <x v="5"/>
  </r>
  <r>
    <d v="2016-02-18T18:44:00"/>
    <d v="2016-02-18T18:58:00"/>
    <s v="Business"/>
    <s v="Unknown Location"/>
    <s v="Islamabad"/>
    <x v="44"/>
    <x v="4"/>
  </r>
  <r>
    <d v="2016-02-18T19:27:00"/>
    <d v="2016-02-18T20:08:00"/>
    <s v="Business"/>
    <s v="Islamabad"/>
    <s v="Unknown Location"/>
    <x v="82"/>
    <x v="3"/>
  </r>
  <r>
    <d v="2016-02-19T09:02:00"/>
    <d v="2016-02-19T09:14:00"/>
    <s v="Business"/>
    <s v="Unknown Location"/>
    <s v="Unknown Location"/>
    <x v="83"/>
    <x v="3"/>
  </r>
  <r>
    <d v="2016-02-19T09:21:00"/>
    <d v="2016-02-19T09:51:00"/>
    <s v="Business"/>
    <s v="Unknown Location"/>
    <s v="Unknown Location"/>
    <x v="22"/>
    <x v="3"/>
  </r>
  <r>
    <d v="2016-02-19T10:21:00"/>
    <d v="2016-02-19T10:48:00"/>
    <s v="Business"/>
    <s v="Unknown Location"/>
    <s v="Islamabad"/>
    <x v="29"/>
    <x v="3"/>
  </r>
  <r>
    <d v="2016-02-19T11:20:00"/>
    <d v="2016-02-19T11:26:00"/>
    <s v="Personal"/>
    <s v="Islamabad"/>
    <s v="Islamabad"/>
    <x v="62"/>
    <x v="1"/>
  </r>
  <r>
    <d v="2016-02-19T11:45:00"/>
    <d v="2016-02-19T11:50:00"/>
    <s v="Personal"/>
    <s v="Islamabad"/>
    <s v="Islamabad"/>
    <x v="32"/>
    <x v="1"/>
  </r>
  <r>
    <d v="2016-02-19T12:09:00"/>
    <d v="2016-02-19T12:27:00"/>
    <s v="Business"/>
    <s v="Islamabad"/>
    <s v="Unknown Location"/>
    <x v="84"/>
    <x v="5"/>
  </r>
  <r>
    <d v="2016-02-19T16:26:00"/>
    <d v="2016-02-19T16:45:00"/>
    <s v="Business"/>
    <s v="Unknown Location"/>
    <s v="Islamabad"/>
    <x v="85"/>
    <x v="1"/>
  </r>
  <r>
    <d v="2016-02-19T17:09:00"/>
    <d v="2016-02-19T17:20:00"/>
    <s v="Business"/>
    <s v="Islamabad"/>
    <s v="Islamabad"/>
    <x v="86"/>
    <x v="1"/>
  </r>
  <r>
    <d v="2016-02-19T20:08:00"/>
    <d v="2016-02-19T20:30:00"/>
    <s v="Personal"/>
    <s v="Islamabad"/>
    <s v="Unknown Location"/>
    <x v="87"/>
    <x v="1"/>
  </r>
  <r>
    <d v="2016-02-19T20:34:00"/>
    <d v="2016-02-19T20:51:00"/>
    <s v="Personal"/>
    <s v="Unknown Location"/>
    <s v="Unknown Location"/>
    <x v="88"/>
    <x v="1"/>
  </r>
  <r>
    <d v="2016-02-20T07:59:00"/>
    <d v="2016-02-20T08:32:00"/>
    <s v="Personal"/>
    <s v="Unknown Location"/>
    <s v="Islamabad"/>
    <x v="89"/>
    <x v="1"/>
  </r>
  <r>
    <d v="2016-02-20T10:48:00"/>
    <d v="2016-02-20T10:56:00"/>
    <s v="Personal"/>
    <s v="Islamabad"/>
    <s v="Islamabad"/>
    <x v="61"/>
    <x v="1"/>
  </r>
  <r>
    <d v="2016-02-20T11:45:00"/>
    <d v="2016-02-20T11:53:00"/>
    <s v="Personal"/>
    <s v="Islamabad"/>
    <s v="Islamabad"/>
    <x v="62"/>
    <x v="1"/>
  </r>
  <r>
    <d v="2016-02-20T12:41:00"/>
    <d v="2016-02-20T13:17:00"/>
    <s v="Business"/>
    <s v="Islamabad"/>
    <s v="R?walpindi"/>
    <x v="90"/>
    <x v="1"/>
  </r>
  <r>
    <d v="2016-02-20T14:50:00"/>
    <d v="2016-02-20T15:54:00"/>
    <s v="Business"/>
    <s v="R?walpindi"/>
    <s v="R?walpindi"/>
    <x v="91"/>
    <x v="3"/>
  </r>
  <r>
    <d v="2016-02-20T16:59:00"/>
    <d v="2016-02-20T17:54:00"/>
    <s v="Personal"/>
    <s v="R?walpindi"/>
    <s v="Unknown Location"/>
    <x v="9"/>
    <x v="1"/>
  </r>
  <r>
    <d v="2016-02-20T18:00:00"/>
    <d v="2016-02-20T18:03:00"/>
    <s v="Business"/>
    <s v="Unknown Location"/>
    <s v="Unknown Location"/>
    <x v="57"/>
    <x v="2"/>
  </r>
  <r>
    <d v="2016-02-20T19:28:00"/>
    <d v="2016-02-20T19:49:00"/>
    <s v="Business"/>
    <s v="Unknown Location"/>
    <s v="Unknown Location"/>
    <x v="55"/>
    <x v="2"/>
  </r>
  <r>
    <d v="2016-02-21T09:07:00"/>
    <d v="2016-02-21T09:46:00"/>
    <s v="Business"/>
    <s v="Unknown Location"/>
    <s v="Islamabad"/>
    <x v="92"/>
    <x v="1"/>
  </r>
  <r>
    <d v="2016-02-21T11:39:00"/>
    <d v="2016-02-21T11:43:00"/>
    <s v="Business"/>
    <s v="Unknown Location"/>
    <s v="Islamabad"/>
    <x v="19"/>
    <x v="2"/>
  </r>
  <r>
    <d v="2016-02-21T11:47:00"/>
    <d v="2016-02-21T12:01:00"/>
    <s v="Business"/>
    <s v="Islamabad"/>
    <s v="Islamabad"/>
    <x v="43"/>
    <x v="2"/>
  </r>
  <r>
    <d v="2016-02-21T12:13:00"/>
    <d v="2016-02-21T12:35:00"/>
    <s v="Business"/>
    <s v="Islamabad"/>
    <s v="Unknown Location"/>
    <x v="93"/>
    <x v="0"/>
  </r>
  <r>
    <d v="2016-02-21T12:51:00"/>
    <d v="2016-02-21T13:12:00"/>
    <s v="Business"/>
    <s v="Unknown Location"/>
    <s v="Unknown Location"/>
    <x v="8"/>
    <x v="5"/>
  </r>
  <r>
    <d v="2016-02-21T13:33:00"/>
    <d v="2016-02-21T14:30:00"/>
    <s v="Business"/>
    <s v="Unknown Location"/>
    <s v="Unknown Location"/>
    <x v="94"/>
    <x v="5"/>
  </r>
  <r>
    <d v="2016-02-21T14:36:00"/>
    <d v="2016-02-21T15:03:00"/>
    <s v="Business"/>
    <s v="Unknown Location"/>
    <s v="Islamabad"/>
    <x v="73"/>
    <x v="5"/>
  </r>
  <r>
    <d v="2016-02-21T15:14:00"/>
    <d v="2016-02-21T15:31:00"/>
    <s v="Business"/>
    <s v="Islamabad"/>
    <s v="Noorpur Shahan"/>
    <x v="72"/>
    <x v="5"/>
  </r>
  <r>
    <d v="2016-02-21T15:36:00"/>
    <d v="2016-02-21T15:41:00"/>
    <s v="Business"/>
    <s v="Noorpur Shahan"/>
    <s v="Unknown Location"/>
    <x v="95"/>
    <x v="0"/>
  </r>
  <r>
    <d v="2016-02-21T16:04:00"/>
    <d v="2016-02-21T16:32:00"/>
    <s v="Business"/>
    <s v="Unknown Location"/>
    <s v="Unknown Location"/>
    <x v="52"/>
    <x v="1"/>
  </r>
  <r>
    <d v="2016-02-21T23:15:00"/>
    <d v="2016-02-21T23:52:00"/>
    <s v="Business"/>
    <s v="Unknown Location"/>
    <s v="R?walpindi"/>
    <x v="96"/>
    <x v="3"/>
  </r>
  <r>
    <d v="2016-02-22T21:54:00"/>
    <d v="2016-02-22T22:09:00"/>
    <s v="Business"/>
    <s v="Morrisville"/>
    <s v="Cary"/>
    <x v="72"/>
    <x v="4"/>
  </r>
  <r>
    <d v="2016-02-24T14:30:00"/>
    <d v="2016-02-24T14:35:00"/>
    <s v="Business"/>
    <s v="Whitebridge"/>
    <s v="Preston"/>
    <x v="62"/>
    <x v="1"/>
  </r>
  <r>
    <d v="2016-02-24T15:19:00"/>
    <d v="2016-02-24T15:25:00"/>
    <s v="Business"/>
    <s v="Preston"/>
    <s v="Whitebridge"/>
    <x v="15"/>
    <x v="2"/>
  </r>
  <r>
    <d v="2016-02-25T16:27:00"/>
    <d v="2016-02-25T16:35:00"/>
    <s v="Business"/>
    <s v="Whitebridge"/>
    <s v="Heritage Pines"/>
    <x v="97"/>
    <x v="2"/>
  </r>
  <r>
    <d v="2016-02-25T16:47:00"/>
    <d v="2016-02-25T17:02:00"/>
    <s v="Business"/>
    <s v="Heritage Pines"/>
    <s v="Whitebridge"/>
    <x v="57"/>
    <x v="2"/>
  </r>
  <r>
    <d v="2016-02-25T17:16:00"/>
    <d v="2016-02-25T17:36:00"/>
    <s v="Business"/>
    <s v="Whitebridge"/>
    <s v="Tanglewood"/>
    <x v="51"/>
    <x v="0"/>
  </r>
  <r>
    <d v="2016-02-25T18:22:00"/>
    <d v="2016-02-25T18:39:00"/>
    <s v="Business"/>
    <s v="Tanglewood"/>
    <s v="Whitebridge"/>
    <x v="46"/>
    <x v="0"/>
  </r>
  <r>
    <d v="2016-02-26T09:06:00"/>
    <d v="2016-02-26T09:29:00"/>
    <s v="Business"/>
    <s v="Whitebridge"/>
    <s v="Westpark Place"/>
    <x v="98"/>
    <x v="1"/>
  </r>
  <r>
    <d v="2016-02-26T11:05:00"/>
    <d v="2016-02-26T11:11:00"/>
    <s v="Personal"/>
    <s v="Westpark Place"/>
    <s v="Whitebridge"/>
    <x v="15"/>
    <x v="1"/>
  </r>
  <r>
    <d v="2016-02-26T11:35:00"/>
    <d v="2016-02-26T11:59:00"/>
    <s v="Business"/>
    <s v="Cary"/>
    <s v="Durham"/>
    <x v="99"/>
    <x v="3"/>
  </r>
  <r>
    <d v="2016-02-26T13:01:00"/>
    <d v="2016-02-26T13:24:00"/>
    <s v="Business"/>
    <s v="Durham"/>
    <s v="Cary"/>
    <x v="100"/>
    <x v="3"/>
  </r>
  <r>
    <d v="2016-02-26T14:38:00"/>
    <d v="2016-02-26T14:46:00"/>
    <s v="Personal"/>
    <s v="Whitebridge"/>
    <s v="Westpark Place"/>
    <x v="16"/>
    <x v="1"/>
  </r>
  <r>
    <d v="2016-02-26T15:00:00"/>
    <d v="2016-02-26T15:18:00"/>
    <s v="Personal"/>
    <s v="Westpark Place"/>
    <s v="Hazelwood"/>
    <x v="86"/>
    <x v="1"/>
  </r>
  <r>
    <d v="2016-02-26T17:01:00"/>
    <d v="2016-02-26T17:12:00"/>
    <s v="Personal"/>
    <s v="Hazelwood"/>
    <s v="Whitebridge"/>
    <x v="20"/>
    <x v="1"/>
  </r>
  <r>
    <d v="2016-02-28T05:22:00"/>
    <d v="2016-02-28T05:38:00"/>
    <s v="Business"/>
    <s v="Whitebridge"/>
    <s v="Waverly Place"/>
    <x v="55"/>
    <x v="3"/>
  </r>
  <r>
    <d v="2016-02-28T09:26:00"/>
    <d v="2016-02-28T09:42:00"/>
    <s v="Business"/>
    <s v="Waverly Place"/>
    <s v="Whitebridge"/>
    <x v="101"/>
    <x v="3"/>
  </r>
  <r>
    <d v="2016-02-29T11:07:00"/>
    <d v="2016-02-29T11:14:00"/>
    <s v="Personal"/>
    <s v="Whitebridge"/>
    <s v="Westpark Place"/>
    <x v="102"/>
    <x v="1"/>
  </r>
  <r>
    <d v="2016-02-29T11:30:00"/>
    <d v="2016-02-29T11:40:00"/>
    <s v="Business"/>
    <s v="Cary"/>
    <s v="Apex"/>
    <x v="103"/>
    <x v="3"/>
  </r>
  <r>
    <d v="2016-02-29T12:36:00"/>
    <d v="2016-02-29T12:48:00"/>
    <s v="Business"/>
    <s v="Apex"/>
    <s v="Cary"/>
    <x v="58"/>
    <x v="3"/>
  </r>
  <r>
    <d v="2016-02-29T14:55:00"/>
    <d v="2016-02-29T15:03:00"/>
    <s v="Business"/>
    <s v="Whitebridge"/>
    <s v="Hazelwood"/>
    <x v="66"/>
    <x v="1"/>
  </r>
  <r>
    <d v="2016-02-29T16:40:00"/>
    <d v="2016-02-29T17:00:00"/>
    <s v="Business"/>
    <s v="Hazelwood"/>
    <s v="Whitebridge"/>
    <x v="104"/>
    <x v="4"/>
  </r>
  <r>
    <d v="2016-03-01T18:47:00"/>
    <d v="2016-03-01T19:10:00"/>
    <s v="Business"/>
    <s v="Whitebridge"/>
    <s v="Wayne Ridge"/>
    <x v="26"/>
    <x v="0"/>
  </r>
  <r>
    <d v="2016-03-01T21:27:00"/>
    <d v="2016-03-01T21:45:00"/>
    <s v="Business"/>
    <s v="Wayne Ridge"/>
    <s v="Whitebridge"/>
    <x v="26"/>
    <x v="3"/>
  </r>
  <r>
    <d v="2016-03-03T09:45:00"/>
    <d v="2016-03-03T09:52:00"/>
    <s v="Personal"/>
    <s v="Whitebridge"/>
    <s v="Westpark Place"/>
    <x v="95"/>
    <x v="1"/>
  </r>
  <r>
    <d v="2016-03-03T11:04:00"/>
    <d v="2016-03-03T11:10:00"/>
    <s v="Business"/>
    <s v="Westpark Place"/>
    <s v="Whitebridge"/>
    <x v="33"/>
    <x v="2"/>
  </r>
  <r>
    <d v="2016-03-03T14:44:00"/>
    <d v="2016-03-03T14:58:00"/>
    <s v="Business"/>
    <s v="Whitebridge"/>
    <s v="Northwoods"/>
    <x v="44"/>
    <x v="0"/>
  </r>
  <r>
    <d v="2016-03-03T15:27:00"/>
    <d v="2016-03-03T15:48:00"/>
    <s v="Business"/>
    <s v="Cary"/>
    <s v="Raleigh"/>
    <x v="29"/>
    <x v="4"/>
  </r>
  <r>
    <d v="2016-03-03T16:02:00"/>
    <d v="2016-03-03T16:42:00"/>
    <s v="Business"/>
    <s v="Raleigh"/>
    <s v="Cary"/>
    <x v="63"/>
    <x v="3"/>
  </r>
  <r>
    <d v="2016-03-04T07:47:00"/>
    <d v="2016-03-04T08:06:00"/>
    <s v="Business"/>
    <s v="Cary"/>
    <s v="Durham"/>
    <x v="100"/>
    <x v="3"/>
  </r>
  <r>
    <d v="2016-03-04T09:46:00"/>
    <d v="2016-03-04T10:03:00"/>
    <s v="Business"/>
    <s v="Durham"/>
    <s v="Cary"/>
    <x v="100"/>
    <x v="4"/>
  </r>
  <r>
    <d v="2016-03-04T11:46:00"/>
    <d v="2016-03-04T12:06:00"/>
    <s v="Business"/>
    <s v="Cary"/>
    <s v="Durham"/>
    <x v="27"/>
    <x v="3"/>
  </r>
  <r>
    <d v="2016-03-04T13:03:00"/>
    <d v="2016-03-04T13:25:00"/>
    <s v="Business"/>
    <s v="Durham"/>
    <s v="Cary"/>
    <x v="105"/>
    <x v="3"/>
  </r>
  <r>
    <d v="2016-03-04T13:40:00"/>
    <d v="2016-03-04T14:09:00"/>
    <s v="Business"/>
    <s v="Cary"/>
    <s v="Raleigh"/>
    <x v="42"/>
    <x v="4"/>
  </r>
  <r>
    <d v="2016-03-04T15:56:00"/>
    <d v="2016-03-04T16:08:00"/>
    <s v="Business"/>
    <s v="Raleigh"/>
    <s v="Raleigh"/>
    <x v="106"/>
    <x v="0"/>
  </r>
  <r>
    <d v="2016-03-04T16:16:00"/>
    <d v="2016-03-04T16:22:00"/>
    <s v="Business"/>
    <s v="Fayetteville Street"/>
    <s v="Depot Historic District"/>
    <x v="7"/>
    <x v="2"/>
  </r>
  <r>
    <d v="2016-03-04T16:43:00"/>
    <d v="2016-03-04T17:12:00"/>
    <s v="Business"/>
    <s v="Raleigh"/>
    <s v="Cary"/>
    <x v="64"/>
    <x v="3"/>
  </r>
  <r>
    <d v="2016-03-04T19:02:00"/>
    <d v="2016-03-04T19:08:00"/>
    <s v="Business"/>
    <s v="Cary"/>
    <s v="Morrisville"/>
    <x v="16"/>
    <x v="5"/>
  </r>
  <r>
    <d v="2016-03-04T19:16:00"/>
    <d v="2016-03-04T19:25:00"/>
    <s v="Business"/>
    <s v="Morrisville"/>
    <s v="Cary"/>
    <x v="20"/>
    <x v="0"/>
  </r>
  <r>
    <d v="2016-03-05T11:44:00"/>
    <d v="2016-03-05T11:59:00"/>
    <s v="Business"/>
    <s v="Cary"/>
    <s v="Morrisville"/>
    <x v="107"/>
    <x v="0"/>
  </r>
  <r>
    <d v="2016-03-05T12:57:00"/>
    <d v="2016-03-05T13:12:00"/>
    <s v="Personal"/>
    <s v="Weston"/>
    <s v="Weston"/>
    <x v="86"/>
    <x v="1"/>
  </r>
  <r>
    <d v="2016-03-05T14:08:00"/>
    <d v="2016-03-05T14:18:00"/>
    <s v="Personal"/>
    <s v="Morrisville"/>
    <s v="Cary"/>
    <x v="85"/>
    <x v="1"/>
  </r>
  <r>
    <d v="2016-03-05T14:39:00"/>
    <d v="2016-03-05T15:01:00"/>
    <s v="Business"/>
    <s v="Whitebridge"/>
    <s v="Wayne Ridge"/>
    <x v="108"/>
    <x v="0"/>
  </r>
  <r>
    <d v="2016-03-05T16:52:00"/>
    <d v="2016-03-05T17:13:00"/>
    <s v="Business"/>
    <s v="Cary"/>
    <s v="Morrisville"/>
    <x v="108"/>
    <x v="0"/>
  </r>
  <r>
    <d v="2016-03-05T17:23:00"/>
    <d v="2016-03-05T17:34:00"/>
    <s v="Business"/>
    <s v="Morrisville"/>
    <s v="Cary"/>
    <x v="25"/>
    <x v="0"/>
  </r>
  <r>
    <d v="2016-03-07T09:10:00"/>
    <d v="2016-03-07T09:20:00"/>
    <s v="Business"/>
    <s v="Whitebridge"/>
    <s v="Edgehill Farms"/>
    <x v="109"/>
    <x v="2"/>
  </r>
  <r>
    <d v="2016-03-07T09:23:00"/>
    <d v="2016-03-07T09:47:00"/>
    <s v="Business"/>
    <s v="Cary"/>
    <s v="Raleigh"/>
    <x v="110"/>
    <x v="4"/>
  </r>
  <r>
    <d v="2016-03-07T12:10:00"/>
    <d v="2016-03-07T12:26:00"/>
    <s v="Business"/>
    <s v="Fayetteville Street"/>
    <s v="Meredith Townes"/>
    <x v="111"/>
    <x v="4"/>
  </r>
  <r>
    <d v="2016-03-07T13:57:00"/>
    <d v="2016-03-07T14:18:00"/>
    <s v="Business"/>
    <s v="Meredith Townes"/>
    <s v="Leesville Hollow"/>
    <x v="112"/>
    <x v="3"/>
  </r>
  <r>
    <d v="2016-03-07T15:19:00"/>
    <d v="2016-03-07T15:45:00"/>
    <s v="Business"/>
    <s v="Raleigh"/>
    <s v="Cary"/>
    <x v="113"/>
    <x v="6"/>
  </r>
  <r>
    <d v="2016-03-08T14:38:00"/>
    <d v="2016-03-08T14:55:00"/>
    <s v="Business"/>
    <s v="Whitebridge"/>
    <s v="Waverly Place"/>
    <x v="28"/>
    <x v="6"/>
  </r>
  <r>
    <d v="2016-03-08T15:35:00"/>
    <d v="2016-03-08T16:00:00"/>
    <s v="Business"/>
    <s v="Waverly Place"/>
    <s v="Whitebridge"/>
    <x v="29"/>
    <x v="0"/>
  </r>
  <r>
    <d v="2016-03-08T16:13:00"/>
    <d v="2016-03-08T16:25:00"/>
    <s v="Personal"/>
    <s v="Whitebridge"/>
    <s v="Whitebridge"/>
    <x v="14"/>
    <x v="1"/>
  </r>
  <r>
    <d v="2016-03-10T03:36:00"/>
    <d v="2016-03-10T03:53:00"/>
    <s v="Business"/>
    <s v="Cary"/>
    <s v="Morrisville"/>
    <x v="69"/>
    <x v="3"/>
  </r>
  <r>
    <d v="2016-03-10T10:08:00"/>
    <d v="2016-03-10T10:37:00"/>
    <s v="Business"/>
    <s v="East Austin"/>
    <s v="West University"/>
    <x v="114"/>
    <x v="3"/>
  </r>
  <r>
    <d v="2016-03-10T14:39:00"/>
    <d v="2016-03-10T14:55:00"/>
    <s v="Business"/>
    <s v="West University"/>
    <s v="South Congress"/>
    <x v="33"/>
    <x v="1"/>
  </r>
  <r>
    <d v="2016-03-10T16:18:00"/>
    <d v="2016-03-10T16:28:00"/>
    <s v="Business"/>
    <s v="South Congress"/>
    <s v="Arts District"/>
    <x v="14"/>
    <x v="1"/>
  </r>
  <r>
    <d v="2016-03-11T09:47:00"/>
    <d v="2016-03-11T09:59:00"/>
    <s v="Business"/>
    <s v="The Drag"/>
    <s v="Congress Ave District"/>
    <x v="20"/>
    <x v="0"/>
  </r>
  <r>
    <d v="2016-03-11T10:29:00"/>
    <d v="2016-03-11T10:36:00"/>
    <s v="Business"/>
    <s v="Congress Ave District"/>
    <s v="Downtown"/>
    <x v="7"/>
    <x v="1"/>
  </r>
  <r>
    <d v="2016-03-11T11:57:00"/>
    <d v="2016-03-11T12:04:00"/>
    <s v="Business"/>
    <s v="Downtown"/>
    <s v="Red River District"/>
    <x v="115"/>
    <x v="1"/>
  </r>
  <r>
    <d v="2016-03-11T13:43:00"/>
    <d v="2016-03-11T13:51:00"/>
    <s v="Business"/>
    <s v="Red River District"/>
    <s v="Downtown"/>
    <x v="32"/>
    <x v="1"/>
  </r>
  <r>
    <d v="2016-03-11T19:21:00"/>
    <d v="2016-03-11T19:35:00"/>
    <s v="Business"/>
    <s v="South Congress"/>
    <s v="The Drag"/>
    <x v="102"/>
    <x v="1"/>
  </r>
  <r>
    <d v="2016-03-12T09:13:00"/>
    <d v="2016-03-12T09:22:00"/>
    <s v="Business"/>
    <s v="The Drag"/>
    <s v="South Congress"/>
    <x v="95"/>
    <x v="1"/>
  </r>
  <r>
    <d v="2016-03-12T18:27:00"/>
    <d v="2016-03-12T18:37:00"/>
    <s v="Personal"/>
    <s v="South Congress"/>
    <s v="The Drag"/>
    <x v="16"/>
    <x v="1"/>
  </r>
  <r>
    <d v="2016-03-13T09:07:00"/>
    <d v="2016-03-13T09:37:00"/>
    <s v="Business"/>
    <s v="The Drag"/>
    <s v="Convention Center District"/>
    <x v="48"/>
    <x v="0"/>
  </r>
  <r>
    <d v="2016-03-13T18:23:00"/>
    <d v="2016-03-13T18:43:00"/>
    <s v="Business"/>
    <s v="South Congress"/>
    <s v="North Austin"/>
    <x v="69"/>
    <x v="0"/>
  </r>
  <r>
    <d v="2016-03-13T20:07:00"/>
    <d v="2016-03-13T20:28:00"/>
    <s v="Business"/>
    <s v="Georgian Acres"/>
    <s v="The Drag"/>
    <x v="12"/>
    <x v="0"/>
  </r>
  <r>
    <d v="2016-03-13T20:39:00"/>
    <d v="2016-03-13T20:58:00"/>
    <s v="Business"/>
    <s v="The Drag"/>
    <s v="North Austin"/>
    <x v="116"/>
    <x v="0"/>
  </r>
  <r>
    <d v="2016-03-13T21:11:00"/>
    <d v="2016-03-13T21:23:00"/>
    <s v="Business"/>
    <s v="North Austin"/>
    <s v="Coxville"/>
    <x v="28"/>
    <x v="0"/>
  </r>
  <r>
    <d v="2016-03-13T22:19:00"/>
    <d v="2016-03-13T22:39:00"/>
    <s v="Business"/>
    <s v="Coxville"/>
    <s v="The Drag"/>
    <x v="117"/>
    <x v="1"/>
  </r>
  <r>
    <d v="2016-03-14T08:34:00"/>
    <d v="2016-03-14T08:49:00"/>
    <s v="Business"/>
    <s v="The Drag"/>
    <s v="South Congress"/>
    <x v="20"/>
    <x v="2"/>
  </r>
  <r>
    <d v="2016-03-14T18:39:00"/>
    <d v="2016-03-14T18:55:00"/>
    <s v="Business"/>
    <s v="South Congress"/>
    <s v="The Drag"/>
    <x v="38"/>
    <x v="1"/>
  </r>
  <r>
    <d v="2016-03-15T08:45:00"/>
    <d v="2016-03-15T08:57:00"/>
    <s v="Business"/>
    <s v="The Drag"/>
    <s v="Convention Center District"/>
    <x v="20"/>
    <x v="0"/>
  </r>
  <r>
    <d v="2016-03-15T20:48:00"/>
    <d v="2016-03-15T21:01:00"/>
    <s v="Business"/>
    <s v="Downtown"/>
    <s v="The Drag"/>
    <x v="109"/>
    <x v="0"/>
  </r>
  <r>
    <d v="2016-03-16T11:34:00"/>
    <d v="2016-03-16T11:45:00"/>
    <s v="Business"/>
    <s v="The Drag"/>
    <s v="Congress Ave District"/>
    <x v="15"/>
    <x v="0"/>
  </r>
  <r>
    <d v="2016-03-16T14:44:00"/>
    <d v="2016-03-16T14:55:00"/>
    <s v="Business"/>
    <s v="Convention Center District"/>
    <s v="West University"/>
    <x v="20"/>
    <x v="1"/>
  </r>
  <r>
    <d v="2016-03-16T18:43:00"/>
    <d v="2016-03-16T18:56:00"/>
    <s v="Business"/>
    <s v="West University"/>
    <s v="Congress Ave District"/>
    <x v="102"/>
    <x v="0"/>
  </r>
  <r>
    <d v="2016-03-17T00:33:00"/>
    <d v="2016-03-17T00:44:00"/>
    <s v="Personal"/>
    <s v="Downtown"/>
    <s v="The Drag"/>
    <x v="15"/>
    <x v="1"/>
  </r>
  <r>
    <d v="2016-03-17T12:52:00"/>
    <d v="2016-03-17T15:11:00"/>
    <s v="Business"/>
    <s v="Austin"/>
    <s v="Katy"/>
    <x v="118"/>
    <x v="4"/>
  </r>
  <r>
    <d v="2016-03-17T15:16:00"/>
    <d v="2016-03-17T15:58:00"/>
    <s v="Business"/>
    <s v="Katy"/>
    <s v="Houston"/>
    <x v="119"/>
    <x v="3"/>
  </r>
  <r>
    <d v="2016-03-17T17:20:00"/>
    <d v="2016-03-17T18:02:00"/>
    <s v="Business"/>
    <s v="Midtown"/>
    <s v="Alief"/>
    <x v="120"/>
    <x v="0"/>
  </r>
  <r>
    <d v="2016-03-17T18:47:00"/>
    <d v="2016-03-17T19:09:00"/>
    <s v="Personal"/>
    <s v="Houston"/>
    <s v="Houston"/>
    <x v="106"/>
    <x v="1"/>
  </r>
  <r>
    <d v="2016-03-17T20:57:00"/>
    <d v="2016-03-17T21:28:00"/>
    <s v="Personal"/>
    <s v="Houston"/>
    <s v="Houston"/>
    <x v="121"/>
    <x v="1"/>
  </r>
  <r>
    <d v="2016-03-17T21:48:00"/>
    <d v="2016-03-17T22:04:00"/>
    <s v="Personal"/>
    <s v="Sharpstown"/>
    <s v="Midtown"/>
    <x v="27"/>
    <x v="1"/>
  </r>
  <r>
    <d v="2016-03-18T07:15:00"/>
    <d v="2016-03-18T07:21:00"/>
    <s v="Business"/>
    <s v="Midtown"/>
    <s v="Midtown"/>
    <x v="53"/>
    <x v="0"/>
  </r>
  <r>
    <d v="2016-03-18T08:35:00"/>
    <d v="2016-03-18T08:43:00"/>
    <s v="Business"/>
    <s v="Midtown"/>
    <s v="Midtown"/>
    <x v="53"/>
    <x v="0"/>
  </r>
  <r>
    <d v="2016-03-18T18:24:00"/>
    <d v="2016-03-18T19:08:00"/>
    <s v="Business"/>
    <s v="Midtown"/>
    <s v="Sharpstown"/>
    <x v="122"/>
    <x v="3"/>
  </r>
  <r>
    <d v="2016-03-18T19:23:00"/>
    <d v="2016-03-18T19:29:00"/>
    <s v="Business"/>
    <s v="Sharpstown"/>
    <s v="Sharpstown"/>
    <x v="32"/>
    <x v="2"/>
  </r>
  <r>
    <d v="2016-03-18T21:01:00"/>
    <d v="2016-03-18T21:15:00"/>
    <s v="Business"/>
    <s v="Sharpstown"/>
    <s v="Midtown"/>
    <x v="123"/>
    <x v="4"/>
  </r>
  <r>
    <d v="2016-03-19T09:10:00"/>
    <d v="2016-03-19T09:25:00"/>
    <s v="Business"/>
    <s v="Midtown"/>
    <s v="Sharpstown"/>
    <x v="112"/>
    <x v="0"/>
  </r>
  <r>
    <d v="2016-03-19T12:50:00"/>
    <d v="2016-03-19T13:13:00"/>
    <s v="Business"/>
    <s v="Houston"/>
    <s v="Sugar Land"/>
    <x v="124"/>
    <x v="4"/>
  </r>
  <r>
    <d v="2016-03-19T14:01:00"/>
    <d v="2016-03-19T14:57:00"/>
    <s v="Business"/>
    <s v="Sugar Land"/>
    <s v="Houston"/>
    <x v="125"/>
    <x v="4"/>
  </r>
  <r>
    <d v="2016-03-19T15:34:00"/>
    <d v="2016-03-19T16:38:00"/>
    <s v="Business"/>
    <s v="Houston"/>
    <s v="Galveston"/>
    <x v="126"/>
    <x v="0"/>
  </r>
  <r>
    <d v="2016-03-19T17:17:00"/>
    <d v="2016-03-19T17:32:00"/>
    <s v="Business"/>
    <s v="Galveston"/>
    <s v="Port Bolivar"/>
    <x v="97"/>
    <x v="0"/>
  </r>
  <r>
    <d v="2016-03-19T17:37:00"/>
    <d v="2016-03-19T17:47:00"/>
    <s v="Business"/>
    <s v="Port Bolivar"/>
    <s v="Port Bolivar"/>
    <x v="102"/>
    <x v="2"/>
  </r>
  <r>
    <d v="2016-03-19T17:52:00"/>
    <d v="2016-03-19T18:00:00"/>
    <s v="Business"/>
    <s v="Port Bolivar"/>
    <s v="Port Bolivar"/>
    <x v="115"/>
    <x v="1"/>
  </r>
  <r>
    <d v="2016-03-19T18:53:00"/>
    <d v="2016-03-19T19:29:00"/>
    <s v="Business"/>
    <s v="Port Bolivar"/>
    <s v="Galveston"/>
    <x v="11"/>
    <x v="3"/>
  </r>
  <r>
    <d v="2016-03-19T19:33:00"/>
    <d v="2016-03-19T20:39:00"/>
    <s v="Business"/>
    <s v="Galveston"/>
    <s v="Houston"/>
    <x v="127"/>
    <x v="4"/>
  </r>
  <r>
    <d v="2016-03-20T07:37:00"/>
    <d v="2016-03-20T07:48:00"/>
    <s v="Business"/>
    <s v="Midtown"/>
    <s v="Washington Avenue"/>
    <x v="111"/>
    <x v="3"/>
  </r>
  <r>
    <d v="2016-03-20T11:42:00"/>
    <d v="2016-03-20T11:56:00"/>
    <s v="Business"/>
    <s v="Washington Avenue"/>
    <s v="Midtown"/>
    <x v="12"/>
    <x v="3"/>
  </r>
  <r>
    <d v="2016-03-20T17:08:00"/>
    <d v="2016-03-20T17:34:00"/>
    <s v="Business"/>
    <s v="Midtown"/>
    <s v="Sharpstown"/>
    <x v="27"/>
    <x v="1"/>
  </r>
  <r>
    <d v="2016-03-20T18:34:00"/>
    <d v="2016-03-20T18:40:00"/>
    <s v="Personal"/>
    <s v="Sharpstown"/>
    <s v="Briar Meadow"/>
    <x v="115"/>
    <x v="1"/>
  </r>
  <r>
    <d v="2016-03-20T18:45:00"/>
    <d v="2016-03-20T19:06:00"/>
    <s v="Business"/>
    <s v="Briar Meadow"/>
    <s v="Midtown"/>
    <x v="128"/>
    <x v="4"/>
  </r>
  <r>
    <d v="2016-03-21T10:21:00"/>
    <d v="2016-03-21T10:26:00"/>
    <s v="Personal"/>
    <s v="Midtown"/>
    <s v="Downtown"/>
    <x v="32"/>
    <x v="1"/>
  </r>
  <r>
    <d v="2016-03-21T16:05:00"/>
    <d v="2016-03-21T16:13:00"/>
    <s v="Business"/>
    <s v="Downtown"/>
    <s v="Midtown"/>
    <x v="129"/>
    <x v="0"/>
  </r>
  <r>
    <d v="2016-03-21T18:59:00"/>
    <d v="2016-03-21T19:15:00"/>
    <s v="Business"/>
    <s v="Midtown"/>
    <s v="Sharpstown"/>
    <x v="93"/>
    <x v="1"/>
  </r>
  <r>
    <d v="2016-03-21T20:18:00"/>
    <d v="2016-03-21T20:55:00"/>
    <s v="Business"/>
    <s v="Sharpstown"/>
    <s v="Midtown"/>
    <x v="130"/>
    <x v="0"/>
  </r>
  <r>
    <d v="2016-03-22T06:17:00"/>
    <d v="2016-03-22T06:43:00"/>
    <s v="Business"/>
    <s v="Midtown"/>
    <s v="Greater Greenspoint"/>
    <x v="131"/>
    <x v="0"/>
  </r>
  <r>
    <d v="2016-03-22T12:06:00"/>
    <d v="2016-03-22T12:24:00"/>
    <s v="Personal"/>
    <s v="Morrisville"/>
    <s v="Cary"/>
    <x v="72"/>
    <x v="1"/>
  </r>
  <r>
    <d v="2016-03-22T19:12:00"/>
    <d v="2016-03-22T19:25:00"/>
    <s v="Personal"/>
    <s v="Whitebridge"/>
    <s v="Whitebridge"/>
    <x v="34"/>
    <x v="1"/>
  </r>
  <r>
    <d v="2016-03-23T14:37:00"/>
    <d v="2016-03-23T14:42:00"/>
    <s v="Personal"/>
    <s v="Whitebridge"/>
    <s v="Preston"/>
    <x v="15"/>
    <x v="1"/>
  </r>
  <r>
    <d v="2016-03-23T14:53:00"/>
    <d v="2016-03-23T14:59:00"/>
    <s v="Personal"/>
    <s v="Preston"/>
    <s v="Whitebridge"/>
    <x v="14"/>
    <x v="1"/>
  </r>
  <r>
    <d v="2016-03-24T19:47:00"/>
    <d v="2016-03-24T19:54:00"/>
    <s v="Personal"/>
    <s v="Whitebridge"/>
    <s v="Westpark Place"/>
    <x v="20"/>
    <x v="1"/>
  </r>
  <r>
    <d v="2016-03-24T20:34:00"/>
    <d v="2016-03-24T20:40:00"/>
    <s v="Business"/>
    <s v="Westpark Place"/>
    <s v="Whitebridge"/>
    <x v="95"/>
    <x v="1"/>
  </r>
  <r>
    <d v="2016-03-25T13:24:00"/>
    <d v="2016-03-25T16:22:00"/>
    <s v="Business"/>
    <s v="Cary"/>
    <s v="Latta"/>
    <x v="132"/>
    <x v="4"/>
  </r>
  <r>
    <d v="2016-03-25T16:52:00"/>
    <d v="2016-03-25T22:22:00"/>
    <s v="Business"/>
    <s v="Latta"/>
    <s v="Jacksonville"/>
    <x v="133"/>
    <x v="4"/>
  </r>
  <r>
    <d v="2016-03-25T22:54:00"/>
    <d v="2016-03-26T01:39:00"/>
    <s v="Business"/>
    <s v="Jacksonville"/>
    <s v="Kissimmee"/>
    <x v="134"/>
    <x v="3"/>
  </r>
  <r>
    <d v="2016-03-26T14:05:00"/>
    <d v="2016-03-26T14:29:00"/>
    <s v="Personal"/>
    <s v="Couples Glen"/>
    <s v="Isles of Buena Vista"/>
    <x v="135"/>
    <x v="1"/>
  </r>
  <r>
    <d v="2016-03-26T15:19:00"/>
    <d v="2016-03-26T15:49:00"/>
    <s v="Personal"/>
    <s v="Kissimmee"/>
    <s v="Orlando"/>
    <x v="93"/>
    <x v="1"/>
  </r>
  <r>
    <d v="2016-03-26T16:26:00"/>
    <d v="2016-03-26T16:30:00"/>
    <s v="Personal"/>
    <s v="Lake Reams"/>
    <s v="Lake Reams"/>
    <x v="115"/>
    <x v="1"/>
  </r>
  <r>
    <d v="2016-03-27T00:31:00"/>
    <d v="2016-03-27T00:40:00"/>
    <s v="Business"/>
    <s v="Lake Reams"/>
    <s v="Lake Reams"/>
    <x v="102"/>
    <x v="2"/>
  </r>
  <r>
    <d v="2016-03-27T01:11:00"/>
    <d v="2016-03-27T01:23:00"/>
    <s v="Business"/>
    <s v="Orlando"/>
    <s v="Kissimmee"/>
    <x v="104"/>
    <x v="0"/>
  </r>
  <r>
    <d v="2016-03-27T15:31:00"/>
    <d v="2016-03-27T15:56:00"/>
    <s v="Business"/>
    <s v="Kissimmee"/>
    <s v="Orlando"/>
    <x v="59"/>
    <x v="4"/>
  </r>
  <r>
    <d v="2016-03-27T21:26:00"/>
    <d v="2016-03-27T21:41:00"/>
    <s v="Personal"/>
    <s v="Orlando"/>
    <s v="Orlando"/>
    <x v="136"/>
    <x v="1"/>
  </r>
  <r>
    <d v="2016-03-27T23:04:00"/>
    <d v="2016-03-27T23:18:00"/>
    <s v="Personal"/>
    <s v="Orlando"/>
    <s v="Kissimmee"/>
    <x v="84"/>
    <x v="1"/>
  </r>
  <r>
    <d v="2016-03-28T12:29:00"/>
    <d v="2016-03-28T12:42:00"/>
    <s v="Personal"/>
    <s v="Kissimmee"/>
    <s v="Orlando"/>
    <x v="78"/>
    <x v="1"/>
  </r>
  <r>
    <d v="2016-03-28T19:30:00"/>
    <d v="2016-03-28T20:23:00"/>
    <s v="Personal"/>
    <s v="Couples Glen"/>
    <s v="Vista East"/>
    <x v="137"/>
    <x v="1"/>
  </r>
  <r>
    <d v="2016-03-28T22:55:00"/>
    <d v="2016-03-28T23:26:00"/>
    <s v="Personal"/>
    <s v="Orlando"/>
    <s v="Kissimmee"/>
    <x v="138"/>
    <x v="1"/>
  </r>
  <r>
    <d v="2016-03-29T15:27:00"/>
    <d v="2016-03-29T16:11:00"/>
    <s v="Personal"/>
    <s v="Kissimmee"/>
    <s v="Orlando"/>
    <x v="87"/>
    <x v="1"/>
  </r>
  <r>
    <d v="2016-03-29T18:20:00"/>
    <d v="2016-03-29T18:39:00"/>
    <s v="Personal"/>
    <s v="Sand Lake Commons"/>
    <s v="Sky Lake"/>
    <x v="12"/>
    <x v="1"/>
  </r>
  <r>
    <d v="2016-03-29T20:29:00"/>
    <d v="2016-03-29T20:44:00"/>
    <s v="Personal"/>
    <s v="Sky Lake"/>
    <s v="Sand Lake Commons"/>
    <x v="51"/>
    <x v="1"/>
  </r>
  <r>
    <d v="2016-03-29T23:04:00"/>
    <d v="2016-03-29T23:21:00"/>
    <s v="Personal"/>
    <s v="Orlando"/>
    <s v="Kissimmee"/>
    <x v="139"/>
    <x v="1"/>
  </r>
  <r>
    <d v="2016-03-30T22:05:00"/>
    <d v="2016-03-30T22:55:00"/>
    <s v="Business"/>
    <s v="Orlando"/>
    <s v="Kissimmee"/>
    <x v="140"/>
    <x v="0"/>
  </r>
  <r>
    <d v="2016-03-31T12:47:00"/>
    <d v="2016-03-31T13:22:00"/>
    <s v="Business"/>
    <s v="Kissimmee"/>
    <s v="Orlando"/>
    <x v="141"/>
    <x v="5"/>
  </r>
  <r>
    <d v="2016-03-31T14:37:00"/>
    <d v="2016-03-31T15:09:00"/>
    <s v="Business"/>
    <s v="Orlando"/>
    <s v="Kissimmee"/>
    <x v="142"/>
    <x v="0"/>
  </r>
  <r>
    <d v="2016-04-01T13:43:00"/>
    <d v="2016-04-01T14:01:00"/>
    <s v="Business"/>
    <s v="Kissimmee"/>
    <s v="Kissimmee"/>
    <x v="143"/>
    <x v="3"/>
  </r>
  <r>
    <d v="2016-04-01T14:36:00"/>
    <d v="2016-04-01T15:24:00"/>
    <s v="Business"/>
    <s v="Kissimmee"/>
    <s v="Orlando"/>
    <x v="120"/>
    <x v="4"/>
  </r>
  <r>
    <d v="2016-04-01T16:01:00"/>
    <d v="2016-04-01T16:49:00"/>
    <s v="Business"/>
    <s v="Orlando"/>
    <s v="Kissimmee"/>
    <x v="144"/>
    <x v="3"/>
  </r>
  <r>
    <d v="2016-04-01T16:52:00"/>
    <d v="2016-04-01T16:57:00"/>
    <s v="Personal"/>
    <s v="Kissimmee"/>
    <s v="Kissimmee"/>
    <x v="145"/>
    <x v="1"/>
  </r>
  <r>
    <d v="2016-04-02T08:48:00"/>
    <d v="2016-04-02T09:04:00"/>
    <s v="Personal"/>
    <s v="Kissimmee"/>
    <s v="Kissimmee"/>
    <x v="47"/>
    <x v="1"/>
  </r>
  <r>
    <d v="2016-04-02T11:01:00"/>
    <d v="2016-04-02T11:16:00"/>
    <s v="Personal"/>
    <s v="Kissimmee"/>
    <s v="Kissimmee"/>
    <x v="0"/>
    <x v="1"/>
  </r>
  <r>
    <d v="2016-04-02T12:21:00"/>
    <d v="2016-04-02T14:47:00"/>
    <s v="Business"/>
    <s v="Kissimmee"/>
    <s v="Daytona Beach"/>
    <x v="146"/>
    <x v="4"/>
  </r>
  <r>
    <d v="2016-04-02T16:57:00"/>
    <d v="2016-04-02T18:09:00"/>
    <s v="Business"/>
    <s v="Daytona Beach"/>
    <s v="Jacksonville"/>
    <x v="147"/>
    <x v="4"/>
  </r>
  <r>
    <d v="2016-04-02T19:38:00"/>
    <d v="2016-04-02T22:36:00"/>
    <s v="Business"/>
    <s v="Jacksonville"/>
    <s v="Ridgeland"/>
    <x v="148"/>
    <x v="4"/>
  </r>
  <r>
    <d v="2016-04-02T23:11:00"/>
    <d v="2016-04-03T01:34:00"/>
    <s v="Business"/>
    <s v="Ridgeland"/>
    <s v="Florence"/>
    <x v="132"/>
    <x v="3"/>
  </r>
  <r>
    <d v="2016-04-03T02:00:00"/>
    <d v="2016-04-03T04:16:00"/>
    <s v="Business"/>
    <s v="Florence"/>
    <s v="Cary"/>
    <x v="149"/>
    <x v="3"/>
  </r>
  <r>
    <d v="2016-04-05T21:39:00"/>
    <d v="2016-04-05T21:55:00"/>
    <s v="Business"/>
    <s v="Whitebridge"/>
    <s v="Wayne Ridge"/>
    <x v="150"/>
    <x v="0"/>
  </r>
  <r>
    <d v="2016-04-06T00:19:00"/>
    <d v="2016-04-06T00:39:00"/>
    <s v="Business"/>
    <s v="Wayne Ridge"/>
    <s v="Whitebridge"/>
    <x v="26"/>
    <x v="0"/>
  </r>
  <r>
    <d v="2016-04-07T18:20:00"/>
    <d v="2016-04-07T18:39:00"/>
    <s v="Business"/>
    <s v="Cary"/>
    <s v="Morrisville"/>
    <x v="59"/>
    <x v="0"/>
  </r>
  <r>
    <d v="2016-04-07T19:45:00"/>
    <d v="2016-04-07T20:00:00"/>
    <s v="Business"/>
    <s v="Morrisville"/>
    <s v="Cary"/>
    <x v="59"/>
    <x v="2"/>
  </r>
  <r>
    <d v="2016-04-08T12:30:00"/>
    <d v="2016-04-08T12:48:00"/>
    <s v="Business"/>
    <s v="Cary"/>
    <s v="Durham"/>
    <x v="116"/>
    <x v="3"/>
  </r>
  <r>
    <d v="2016-04-08T13:34:00"/>
    <d v="2016-04-08T13:51:00"/>
    <s v="Business"/>
    <s v="Durham"/>
    <s v="Cary"/>
    <x v="151"/>
    <x v="0"/>
  </r>
  <r>
    <d v="2016-04-08T13:55:00"/>
    <d v="2016-04-08T14:03:00"/>
    <s v="Business"/>
    <s v="Westpark Place"/>
    <s v="Whitebridge"/>
    <x v="18"/>
    <x v="2"/>
  </r>
  <r>
    <d v="2016-04-08T14:43:00"/>
    <d v="2016-04-08T15:20:00"/>
    <s v="Business"/>
    <s v="Cary"/>
    <s v="Raleigh"/>
    <x v="152"/>
    <x v="3"/>
  </r>
  <r>
    <d v="2016-04-08T16:05:00"/>
    <d v="2016-04-08T16:47:00"/>
    <s v="Business"/>
    <s v="Raleigh"/>
    <s v="Cary"/>
    <x v="153"/>
    <x v="3"/>
  </r>
  <r>
    <d v="2016-04-12T09:15:00"/>
    <d v="2016-04-12T09:26:00"/>
    <s v="Business"/>
    <s v="Whitebridge"/>
    <s v="Edgehill Farms"/>
    <x v="109"/>
    <x v="2"/>
  </r>
  <r>
    <d v="2016-04-12T09:34:00"/>
    <d v="2016-04-12T09:53:00"/>
    <s v="Business"/>
    <s v="Cary"/>
    <s v="Raleigh"/>
    <x v="71"/>
    <x v="3"/>
  </r>
  <r>
    <d v="2016-04-12T10:58:00"/>
    <d v="2016-04-12T11:18:00"/>
    <s v="Business"/>
    <s v="Meredith"/>
    <s v="Cedar Hill"/>
    <x v="11"/>
    <x v="4"/>
  </r>
  <r>
    <d v="2016-04-12T12:22:00"/>
    <d v="2016-04-12T12:44:00"/>
    <s v="Business"/>
    <s v="Raleigh"/>
    <s v="Morrisville"/>
    <x v="154"/>
    <x v="3"/>
  </r>
  <r>
    <d v="2016-04-12T13:42:00"/>
    <d v="2016-04-12T14:01:00"/>
    <s v="Business"/>
    <s v="Morrisville"/>
    <s v="Cary"/>
    <x v="107"/>
    <x v="0"/>
  </r>
  <r>
    <d v="2016-04-14T07:29:00"/>
    <d v="2016-04-14T08:09:00"/>
    <s v="Business"/>
    <s v="Cary"/>
    <s v="Holly Springs"/>
    <x v="155"/>
    <x v="5"/>
  </r>
  <r>
    <d v="2016-04-14T16:00:00"/>
    <d v="2016-04-14T16:43:00"/>
    <s v="Business"/>
    <s v="Holly Springs"/>
    <s v="Cary"/>
    <x v="156"/>
    <x v="5"/>
  </r>
  <r>
    <d v="2016-04-15T11:36:00"/>
    <d v="2016-04-15T12:07:00"/>
    <s v="Business"/>
    <s v="Cary"/>
    <s v="Raleigh"/>
    <x v="113"/>
    <x v="5"/>
  </r>
  <r>
    <d v="2016-04-15T12:29:00"/>
    <d v="2016-04-15T12:32:00"/>
    <s v="Business"/>
    <s v="Meredith Townes"/>
    <s v="Harden Place"/>
    <x v="34"/>
    <x v="2"/>
  </r>
  <r>
    <d v="2016-04-15T14:31:00"/>
    <d v="2016-04-15T15:01:00"/>
    <s v="Business"/>
    <s v="Raleigh"/>
    <s v="Cary"/>
    <x v="157"/>
    <x v="3"/>
  </r>
  <r>
    <d v="2016-04-16T12:59:00"/>
    <d v="2016-04-16T13:17:00"/>
    <s v="Business"/>
    <s v="Cary"/>
    <s v="Morrisville"/>
    <x v="51"/>
    <x v="2"/>
  </r>
  <r>
    <d v="2016-04-16T15:10:00"/>
    <d v="2016-04-16T15:26:00"/>
    <s v="Business"/>
    <s v="Morrisville"/>
    <s v="Cary"/>
    <x v="59"/>
    <x v="0"/>
  </r>
  <r>
    <d v="2016-04-19T17:44:00"/>
    <d v="2016-04-19T18:08:00"/>
    <s v="Business"/>
    <s v="Whitebridge"/>
    <s v="Wayne Ridge"/>
    <x v="158"/>
    <x v="0"/>
  </r>
  <r>
    <d v="2016-04-19T19:57:00"/>
    <d v="2016-04-19T20:19:00"/>
    <s v="Business"/>
    <s v="Wayne Ridge"/>
    <s v="Whitebridge"/>
    <x v="26"/>
    <x v="0"/>
  </r>
  <r>
    <d v="2016-04-22T08:25:00"/>
    <d v="2016-04-22T09:04:00"/>
    <s v="Business"/>
    <s v="Cary"/>
    <s v="Raleigh"/>
    <x v="87"/>
    <x v="3"/>
  </r>
  <r>
    <d v="2016-04-22T10:10:00"/>
    <d v="2016-04-22T10:40:00"/>
    <s v="Business"/>
    <s v="Raleigh"/>
    <s v="Cary"/>
    <x v="159"/>
    <x v="3"/>
  </r>
  <r>
    <d v="2016-04-22T12:08:00"/>
    <d v="2016-04-22T12:28:00"/>
    <s v="Business"/>
    <s v="Cary"/>
    <s v="Durham"/>
    <x v="27"/>
    <x v="3"/>
  </r>
  <r>
    <d v="2016-04-22T13:02:00"/>
    <d v="2016-04-22T13:26:00"/>
    <s v="Business"/>
    <s v="Durham"/>
    <s v="Cary"/>
    <x v="82"/>
    <x v="3"/>
  </r>
  <r>
    <d v="2016-04-23T17:03:00"/>
    <d v="2016-04-23T17:16:00"/>
    <s v="Business"/>
    <s v="Whitebridge"/>
    <s v="Tanglewood"/>
    <x v="51"/>
    <x v="0"/>
  </r>
  <r>
    <d v="2016-04-23T18:49:00"/>
    <d v="2016-04-23T19:05:00"/>
    <s v="Business"/>
    <s v="Tanglewood"/>
    <s v="Whitebridge"/>
    <x v="107"/>
    <x v="0"/>
  </r>
  <r>
    <d v="2016-04-24T19:07:00"/>
    <d v="2016-04-24T19:16:00"/>
    <s v="Business"/>
    <s v="Cary"/>
    <s v="Morrisville"/>
    <x v="97"/>
    <x v="2"/>
  </r>
  <r>
    <d v="2016-04-24T19:46:00"/>
    <d v="2016-04-24T19:52:00"/>
    <s v="Business"/>
    <s v="Chessington"/>
    <s v="Chessington"/>
    <x v="16"/>
    <x v="2"/>
  </r>
  <r>
    <d v="2016-04-24T21:41:00"/>
    <d v="2016-04-24T21:50:00"/>
    <s v="Business"/>
    <s v="Morrisville"/>
    <s v="Cary"/>
    <x v="86"/>
    <x v="6"/>
  </r>
  <r>
    <d v="2016-04-27T13:30:00"/>
    <d v="2016-04-27T13:40:00"/>
    <s v="Business"/>
    <s v="Whitebridge"/>
    <s v="Burtrose"/>
    <x v="106"/>
    <x v="6"/>
  </r>
  <r>
    <d v="2016-04-27T14:13:00"/>
    <d v="2016-04-27T14:25:00"/>
    <s v="Business"/>
    <s v="Burtrose"/>
    <s v="Whitebridge"/>
    <x v="2"/>
    <x v="6"/>
  </r>
  <r>
    <d v="2016-04-28T12:09:00"/>
    <d v="2016-04-28T12:34:00"/>
    <s v="Business"/>
    <s v="Cary"/>
    <s v="Raleigh"/>
    <x v="110"/>
    <x v="4"/>
  </r>
  <r>
    <d v="2016-04-28T13:30:00"/>
    <d v="2016-04-28T13:49:00"/>
    <s v="Business"/>
    <s v="Raleigh"/>
    <s v="Cary"/>
    <x v="160"/>
    <x v="4"/>
  </r>
  <r>
    <d v="2016-04-28T22:10:00"/>
    <d v="2016-04-28T22:28:00"/>
    <s v="Business"/>
    <s v="Morrisville"/>
    <s v="Cary"/>
    <x v="47"/>
    <x v="4"/>
  </r>
  <r>
    <d v="2016-04-29T11:44:00"/>
    <d v="2016-04-29T12:01:00"/>
    <s v="Business"/>
    <s v="Cary"/>
    <s v="Durham"/>
    <x v="100"/>
    <x v="3"/>
  </r>
  <r>
    <d v="2016-04-29T13:13:00"/>
    <d v="2016-04-29T13:34:00"/>
    <s v="Business"/>
    <s v="Durham"/>
    <s v="Cary"/>
    <x v="82"/>
    <x v="3"/>
  </r>
  <r>
    <d v="2016-04-29T18:46:00"/>
    <d v="2016-04-29T19:18:00"/>
    <s v="Business"/>
    <s v="Cary"/>
    <s v="Durham"/>
    <x v="161"/>
    <x v="4"/>
  </r>
  <r>
    <d v="2016-04-29T22:44:00"/>
    <d v="2016-04-29T23:19:00"/>
    <s v="Business"/>
    <s v="Durham"/>
    <s v="Cary"/>
    <x v="162"/>
    <x v="3"/>
  </r>
  <r>
    <d v="2016-04-30T18:42:00"/>
    <d v="2016-04-30T18:57:00"/>
    <s v="Business"/>
    <s v="Whitebridge"/>
    <s v="Waverly Place"/>
    <x v="55"/>
    <x v="0"/>
  </r>
  <r>
    <d v="2016-04-30T22:16:00"/>
    <d v="2016-04-30T22:34:00"/>
    <s v="Business"/>
    <s v="Waverly Place"/>
    <s v="Whitebridge"/>
    <x v="101"/>
    <x v="1"/>
  </r>
  <r>
    <d v="2016-05-01T13:45:00"/>
    <d v="2016-05-01T13:53:00"/>
    <s v="Business"/>
    <s v="Whitebridge"/>
    <s v="Westpark Place"/>
    <x v="102"/>
    <x v="0"/>
  </r>
  <r>
    <d v="2016-05-01T14:26:00"/>
    <d v="2016-05-01T14:31:00"/>
    <s v="Business"/>
    <s v="Westpark Place"/>
    <s v="Whitebridge"/>
    <x v="33"/>
    <x v="1"/>
  </r>
  <r>
    <d v="2016-05-01T17:33:00"/>
    <d v="2016-05-01T17:45:00"/>
    <s v="Business"/>
    <s v="Whitebridge"/>
    <s v="Tanglewood"/>
    <x v="12"/>
    <x v="6"/>
  </r>
  <r>
    <d v="2016-05-01T17:54:00"/>
    <d v="2016-05-01T18:10:00"/>
    <s v="Business"/>
    <s v="Tanglewood"/>
    <s v="Parkway"/>
    <x v="11"/>
    <x v="3"/>
  </r>
  <r>
    <d v="2016-05-01T22:38:00"/>
    <d v="2016-05-01T22:49:00"/>
    <s v="Business"/>
    <s v="Parkway"/>
    <s v="Whitebridge"/>
    <x v="97"/>
    <x v="2"/>
  </r>
  <r>
    <d v="2016-05-02T14:14:00"/>
    <d v="2016-05-02T14:21:00"/>
    <s v="Business"/>
    <s v="Whitebridge"/>
    <s v="Westpark Place"/>
    <x v="95"/>
    <x v="2"/>
  </r>
  <r>
    <d v="2016-05-02T15:37:00"/>
    <d v="2016-05-02T15:48:00"/>
    <s v="Business"/>
    <s v="Westpark Place"/>
    <s v="Whitebridge"/>
    <x v="25"/>
    <x v="0"/>
  </r>
  <r>
    <d v="2016-05-03T22:20:00"/>
    <d v="2016-05-03T22:28:00"/>
    <s v="Business"/>
    <s v="Morrisville"/>
    <s v="Cary"/>
    <x v="88"/>
    <x v="0"/>
  </r>
  <r>
    <d v="2016-05-04T15:16:00"/>
    <d v="2016-05-04T15:37:00"/>
    <s v="Business"/>
    <s v="Cary"/>
    <s v="Morrisville"/>
    <x v="151"/>
    <x v="0"/>
  </r>
  <r>
    <d v="2016-05-04T20:55:00"/>
    <d v="2016-05-04T21:14:00"/>
    <s v="Business"/>
    <s v="Mcvan"/>
    <s v="Capitol One"/>
    <x v="92"/>
    <x v="2"/>
  </r>
  <r>
    <d v="2016-05-04T21:30:00"/>
    <d v="2016-05-04T21:36:00"/>
    <s v="Business"/>
    <s v="Capitol One"/>
    <s v="University District"/>
    <x v="77"/>
    <x v="0"/>
  </r>
  <r>
    <d v="2016-05-04T22:19:00"/>
    <d v="2016-05-04T22:27:00"/>
    <s v="Business"/>
    <s v="University District"/>
    <s v="Capitol One"/>
    <x v="1"/>
    <x v="0"/>
  </r>
  <r>
    <d v="2016-05-05T21:24:00"/>
    <d v="2016-05-05T21:36:00"/>
    <s v="Business"/>
    <s v="Seattle"/>
    <s v="Redmond"/>
    <x v="161"/>
    <x v="0"/>
  </r>
  <r>
    <d v="2016-05-05T22:34:00"/>
    <d v="2016-05-05T22:40:00"/>
    <s v="Business"/>
    <s v="Redmond"/>
    <s v="Bellevue"/>
    <x v="163"/>
    <x v="2"/>
  </r>
  <r>
    <d v="2016-05-05T23:55:00"/>
    <d v="2016-05-06T00:08:00"/>
    <s v="Business"/>
    <s v="Bellevue"/>
    <s v="Seattle"/>
    <x v="39"/>
    <x v="3"/>
  </r>
  <r>
    <d v="2016-05-06T05:47:00"/>
    <d v="2016-05-06T06:02:00"/>
    <s v="Business"/>
    <s v="Capitol One"/>
    <s v="Mcvan"/>
    <x v="89"/>
    <x v="3"/>
  </r>
  <r>
    <d v="2016-05-06T16:45:00"/>
    <d v="2016-05-06T16:59:00"/>
    <s v="Business"/>
    <s v="Chapel Hill"/>
    <s v="Morrisville"/>
    <x v="67"/>
    <x v="3"/>
  </r>
  <r>
    <d v="2016-05-06T17:18:00"/>
    <d v="2016-05-06T17:44:00"/>
    <s v="Business"/>
    <s v="Morrisville"/>
    <s v="Cary"/>
    <x v="150"/>
    <x v="4"/>
  </r>
  <r>
    <d v="2016-05-09T06:08:00"/>
    <d v="2016-05-09T06:25:00"/>
    <s v="Business"/>
    <s v="Cary"/>
    <s v="Morrisville"/>
    <x v="69"/>
    <x v="4"/>
  </r>
  <r>
    <d v="2016-05-09T14:39:00"/>
    <d v="2016-05-09T15:06:00"/>
    <s v="Business"/>
    <s v="San Francisco"/>
    <s v="Palo Alto"/>
    <x v="164"/>
    <x v="6"/>
  </r>
  <r>
    <d v="2016-05-09T17:58:00"/>
    <d v="2016-05-09T18:26:00"/>
    <s v="Business"/>
    <s v="Palo Alto"/>
    <s v="Sunnyvale"/>
    <x v="165"/>
    <x v="4"/>
  </r>
  <r>
    <d v="2016-05-09T19:35:00"/>
    <d v="2016-05-09T19:59:00"/>
    <s v="Business"/>
    <s v="Sunnyvale"/>
    <s v="Newark"/>
    <x v="166"/>
    <x v="4"/>
  </r>
  <r>
    <d v="2016-05-10T09:03:00"/>
    <d v="2016-05-10T09:20:00"/>
    <s v="Business"/>
    <s v="Newark"/>
    <s v="Menlo Park"/>
    <x v="167"/>
    <x v="4"/>
  </r>
  <r>
    <d v="2016-05-10T17:19:00"/>
    <d v="2016-05-10T17:31:00"/>
    <s v="Business"/>
    <s v="Menlo Park"/>
    <s v="Newark"/>
    <x v="150"/>
    <x v="4"/>
  </r>
  <r>
    <d v="2016-05-11T08:35:00"/>
    <d v="2016-05-11T09:12:00"/>
    <s v="Business"/>
    <s v="Newark"/>
    <s v="San Francisco"/>
    <x v="130"/>
    <x v="3"/>
  </r>
  <r>
    <d v="2016-05-11T21:47:00"/>
    <d v="2016-05-11T22:04:00"/>
    <s v="Business"/>
    <s v="Morrisville"/>
    <s v="Cary"/>
    <x v="72"/>
    <x v="3"/>
  </r>
  <r>
    <d v="2016-05-14T18:35:00"/>
    <d v="2016-05-14T18:39:00"/>
    <s v="Business"/>
    <s v="Cary"/>
    <s v="Morrisville"/>
    <x v="97"/>
    <x v="0"/>
  </r>
  <r>
    <d v="2016-05-14T23:01:00"/>
    <d v="2016-05-14T23:05:00"/>
    <s v="Business"/>
    <s v="Morrisville"/>
    <s v="Cary"/>
    <x v="97"/>
    <x v="0"/>
  </r>
  <r>
    <d v="2016-05-17T13:15:00"/>
    <d v="2016-05-17T13:23:00"/>
    <s v="Business"/>
    <s v="Whitebridge"/>
    <s v="Preston"/>
    <x v="109"/>
    <x v="2"/>
  </r>
  <r>
    <d v="2016-05-17T13:56:00"/>
    <d v="2016-05-17T14:08:00"/>
    <s v="Business"/>
    <s v="Preston"/>
    <s v="Westpark Place"/>
    <x v="38"/>
    <x v="2"/>
  </r>
  <r>
    <d v="2016-05-17T14:34:00"/>
    <d v="2016-05-17T14:40:00"/>
    <s v="Business"/>
    <s v="Westpark Place"/>
    <s v="Whitebridge"/>
    <x v="16"/>
    <x v="2"/>
  </r>
  <r>
    <d v="2016-05-18T09:11:00"/>
    <d v="2016-05-18T09:41:00"/>
    <s v="Business"/>
    <s v="Cary"/>
    <s v="Morrisville"/>
    <x v="69"/>
    <x v="4"/>
  </r>
  <r>
    <d v="2016-05-18T13:00:00"/>
    <d v="2016-05-18T13:02:00"/>
    <s v="Business"/>
    <s v="Morrisville"/>
    <s v="Raleigh"/>
    <x v="29"/>
    <x v="4"/>
  </r>
  <r>
    <d v="2016-05-19T14:37:00"/>
    <d v="2016-05-19T15:01:00"/>
    <s v="Business"/>
    <s v="Old City"/>
    <s v="Parkway Museums"/>
    <x v="163"/>
    <x v="0"/>
  </r>
  <r>
    <d v="2016-05-20T10:56:00"/>
    <d v="2016-05-20T11:07:00"/>
    <s v="Business"/>
    <s v="Old City"/>
    <s v="Hog Island"/>
    <x v="22"/>
    <x v="3"/>
  </r>
  <r>
    <d v="2016-05-20T15:43:00"/>
    <d v="2016-05-20T16:12:00"/>
    <s v="Business"/>
    <s v="Morrisville"/>
    <s v="Cary"/>
    <x v="158"/>
    <x v="0"/>
  </r>
  <r>
    <d v="2016-05-22T15:39:00"/>
    <d v="2016-05-22T15:46:00"/>
    <s v="Business"/>
    <s v="Cary"/>
    <s v="Morrisville"/>
    <x v="61"/>
    <x v="0"/>
  </r>
  <r>
    <d v="2016-05-22T18:46:00"/>
    <d v="2016-05-22T18:53:00"/>
    <s v="Business"/>
    <s v="Morrisville"/>
    <s v="Cary"/>
    <x v="88"/>
    <x v="0"/>
  </r>
  <r>
    <d v="2016-05-23T20:19:00"/>
    <d v="2016-05-23T20:27:00"/>
    <s v="Business"/>
    <s v="Whitebridge"/>
    <s v="Savon Height"/>
    <x v="78"/>
    <x v="0"/>
  </r>
  <r>
    <d v="2016-05-23T21:09:00"/>
    <d v="2016-05-23T21:21:00"/>
    <s v="Business"/>
    <s v="Savon Height"/>
    <s v="Whitebridge"/>
    <x v="78"/>
    <x v="2"/>
  </r>
  <r>
    <d v="2016-05-27T20:26:00"/>
    <d v="2016-05-27T20:30:00"/>
    <s v="Business"/>
    <s v="Whitebridge"/>
    <s v="Kildaire Farms"/>
    <x v="77"/>
    <x v="2"/>
  </r>
  <r>
    <d v="2016-05-27T20:47:00"/>
    <d v="2016-05-27T20:53:00"/>
    <s v="Business"/>
    <s v="Savon Height"/>
    <s v="Kilarney Woods"/>
    <x v="115"/>
    <x v="1"/>
  </r>
  <r>
    <d v="2016-05-27T22:11:00"/>
    <d v="2016-05-27T22:14:00"/>
    <s v="Business"/>
    <s v="Kilarney Woods"/>
    <s v="Kildaire Farms"/>
    <x v="15"/>
    <x v="2"/>
  </r>
  <r>
    <d v="2016-05-28T00:15:00"/>
    <d v="2016-05-28T00:21:00"/>
    <s v="Business"/>
    <s v="Kilarney Woods"/>
    <s v="Whitebridge"/>
    <x v="3"/>
    <x v="2"/>
  </r>
  <r>
    <d v="2016-05-28T12:52:00"/>
    <d v="2016-05-28T13:06:00"/>
    <s v="Business"/>
    <s v="Cary"/>
    <s v="Morrisville"/>
    <x v="59"/>
    <x v="0"/>
  </r>
  <r>
    <d v="2016-05-28T14:35:00"/>
    <d v="2016-05-28T15:04:00"/>
    <s v="Business"/>
    <s v="Morrisville"/>
    <s v="Cary"/>
    <x v="168"/>
    <x v="4"/>
  </r>
  <r>
    <d v="2016-05-31T13:54:00"/>
    <d v="2016-05-31T14:41:00"/>
    <s v="Business"/>
    <s v="Cary"/>
    <s v="Raleigh"/>
    <x v="169"/>
    <x v="3"/>
  </r>
  <r>
    <d v="2016-05-31T16:02:00"/>
    <d v="2016-05-31T16:39:00"/>
    <s v="Business"/>
    <s v="Raleigh"/>
    <s v="Cary"/>
    <x v="170"/>
    <x v="3"/>
  </r>
  <r>
    <d v="2016-05-31T17:50:00"/>
    <d v="2016-05-31T17:59:00"/>
    <s v="Business"/>
    <s v="Westpark Place"/>
    <s v="Whitebridge"/>
    <x v="18"/>
    <x v="1"/>
  </r>
  <r>
    <d v="2016-06-01T10:19:00"/>
    <d v="2016-06-01T10:47:00"/>
    <s v="Business"/>
    <s v="Cary"/>
    <s v="Morrisville"/>
    <x v="135"/>
    <x v="4"/>
  </r>
  <r>
    <d v="2016-06-01T13:10:00"/>
    <d v="2016-06-01T13:39:00"/>
    <s v="Business"/>
    <s v="Morrisville"/>
    <s v="Cary"/>
    <x v="128"/>
    <x v="3"/>
  </r>
  <r>
    <d v="2016-06-03T11:29:00"/>
    <d v="2016-06-03T11:49:00"/>
    <s v="Business"/>
    <s v="Cary"/>
    <s v="Durham"/>
    <x v="27"/>
    <x v="3"/>
  </r>
  <r>
    <d v="2016-06-03T13:08:00"/>
    <d v="2016-06-03T13:38:00"/>
    <s v="Business"/>
    <s v="Durham"/>
    <s v="Cary"/>
    <x v="100"/>
    <x v="3"/>
  </r>
  <r>
    <d v="2016-06-03T15:31:00"/>
    <d v="2016-06-03T15:54:00"/>
    <s v="Business"/>
    <s v="Cary"/>
    <s v="Morrisville"/>
    <x v="51"/>
    <x v="0"/>
  </r>
  <r>
    <d v="2016-06-03T18:14:00"/>
    <d v="2016-06-03T18:29:00"/>
    <s v="Business"/>
    <s v="Townes at Everett Crossing"/>
    <s v="Chessington"/>
    <x v="171"/>
    <x v="2"/>
  </r>
  <r>
    <d v="2016-06-03T18:41:00"/>
    <d v="2016-06-03T18:53:00"/>
    <s v="Business"/>
    <s v="Morrisville"/>
    <s v="Cary"/>
    <x v="97"/>
    <x v="2"/>
  </r>
  <r>
    <d v="2016-06-03T19:36:00"/>
    <d v="2016-06-03T19:42:00"/>
    <s v="Business"/>
    <s v="Huntington Woods"/>
    <s v="Weston"/>
    <x v="15"/>
    <x v="2"/>
  </r>
  <r>
    <d v="2016-06-03T22:47:00"/>
    <d v="2016-06-03T23:06:00"/>
    <s v="Business"/>
    <s v="Morrisville"/>
    <s v="Cary"/>
    <x v="17"/>
    <x v="6"/>
  </r>
  <r>
    <d v="2016-06-05T14:03:00"/>
    <d v="2016-06-05T14:33:00"/>
    <s v="Business"/>
    <s v="Whitebridge"/>
    <s v="Savon Height"/>
    <x v="108"/>
    <x v="4"/>
  </r>
  <r>
    <d v="2016-06-05T15:06:00"/>
    <d v="2016-06-05T15:22:00"/>
    <s v="Business"/>
    <s v="Cary"/>
    <s v="Morrisville"/>
    <x v="108"/>
    <x v="4"/>
  </r>
  <r>
    <d v="2016-06-05T15:57:00"/>
    <d v="2016-06-05T16:08:00"/>
    <s v="Business"/>
    <s v="Weston"/>
    <s v="Weston"/>
    <x v="103"/>
    <x v="0"/>
  </r>
  <r>
    <d v="2016-06-05T18:05:00"/>
    <d v="2016-06-05T18:14:00"/>
    <s v="Business"/>
    <s v="Morrisville"/>
    <s v="Cary"/>
    <x v="88"/>
    <x v="0"/>
  </r>
  <r>
    <d v="2016-06-05T21:53:00"/>
    <d v="2016-06-05T22:05:00"/>
    <s v="Business"/>
    <s v="Cary"/>
    <s v="Durham"/>
    <x v="100"/>
    <x v="3"/>
  </r>
  <r>
    <d v="2016-06-05T23:52:00"/>
    <d v="2016-06-06T00:08:00"/>
    <s v="Business"/>
    <s v="Durham"/>
    <s v="Cary"/>
    <x v="100"/>
    <x v="3"/>
  </r>
  <r>
    <d v="2016-06-06T15:36:00"/>
    <d v="2016-06-06T15:45:00"/>
    <s v="Business"/>
    <s v="Whitebridge"/>
    <s v="Hazelwood"/>
    <x v="61"/>
    <x v="2"/>
  </r>
  <r>
    <d v="2016-06-06T16:16:00"/>
    <d v="2016-06-06T16:24:00"/>
    <s v="Business"/>
    <s v="Hazelwood"/>
    <s v="Whitebridge"/>
    <x v="19"/>
    <x v="2"/>
  </r>
  <r>
    <d v="2016-06-06T20:06:00"/>
    <d v="2016-06-06T20:20:00"/>
    <s v="Business"/>
    <s v="Cary"/>
    <s v="Apex"/>
    <x v="48"/>
    <x v="0"/>
  </r>
  <r>
    <d v="2016-06-06T21:08:00"/>
    <d v="2016-06-06T21:37:00"/>
    <s v="Business"/>
    <s v="Apex"/>
    <s v="Cary"/>
    <x v="28"/>
    <x v="0"/>
  </r>
  <r>
    <d v="2016-06-06T21:41:00"/>
    <d v="2016-06-06T22:00:00"/>
    <s v="Business"/>
    <s v="Cary"/>
    <s v="Durham"/>
    <x v="27"/>
    <x v="3"/>
  </r>
  <r>
    <d v="2016-06-06T23:34:00"/>
    <d v="2016-06-06T23:48:00"/>
    <s v="Business"/>
    <s v="Durham"/>
    <s v="Cary"/>
    <x v="100"/>
    <x v="3"/>
  </r>
  <r>
    <d v="2016-06-07T21:42:00"/>
    <d v="2016-06-07T22:00:00"/>
    <s v="Business"/>
    <s v="Cary"/>
    <s v="Durham"/>
    <x v="27"/>
    <x v="3"/>
  </r>
  <r>
    <d v="2016-06-07T23:41:00"/>
    <d v="2016-06-08T00:04:00"/>
    <s v="Business"/>
    <s v="Durham"/>
    <s v="Cary"/>
    <x v="100"/>
    <x v="3"/>
  </r>
  <r>
    <d v="2016-06-08T08:23:00"/>
    <d v="2016-06-08T08:53:00"/>
    <s v="Business"/>
    <s v="Cary"/>
    <s v="Morrisville"/>
    <x v="151"/>
    <x v="0"/>
  </r>
  <r>
    <d v="2016-06-08T12:04:00"/>
    <d v="2016-06-08T13:01:00"/>
    <s v="Business"/>
    <s v="Jamaica"/>
    <s v="New York"/>
    <x v="172"/>
    <x v="2"/>
  </r>
  <r>
    <d v="2016-06-08T13:12:00"/>
    <d v="2016-06-08T13:29:00"/>
    <s v="Business"/>
    <s v="Seaport"/>
    <s v="Gramercy-Flatiron"/>
    <x v="171"/>
    <x v="0"/>
  </r>
  <r>
    <d v="2016-06-08T14:31:00"/>
    <d v="2016-06-08T14:37:00"/>
    <s v="Business"/>
    <s v="Medical Centre"/>
    <s v="Tudor City"/>
    <x v="145"/>
    <x v="2"/>
  </r>
  <r>
    <d v="2016-06-08T16:55:00"/>
    <d v="2016-06-08T17:11:00"/>
    <s v="Business"/>
    <s v="Rose Hill"/>
    <s v="Soho"/>
    <x v="88"/>
    <x v="0"/>
  </r>
  <r>
    <d v="2016-06-08T17:16:00"/>
    <d v="2016-06-08T17:18:00"/>
    <s v="Business"/>
    <s v="Soho"/>
    <s v="Tribeca"/>
    <x v="35"/>
    <x v="2"/>
  </r>
  <r>
    <d v="2016-06-08T17:59:00"/>
    <d v="2016-06-08T18:05:00"/>
    <s v="Business"/>
    <s v="Tribeca"/>
    <s v="Financial District"/>
    <x v="129"/>
    <x v="2"/>
  </r>
  <r>
    <d v="2016-06-08T20:11:00"/>
    <d v="2016-06-08T20:25:00"/>
    <s v="Business"/>
    <s v="Financial District"/>
    <s v="Kips Bay"/>
    <x v="2"/>
    <x v="2"/>
  </r>
  <r>
    <d v="2016-06-10T15:19:00"/>
    <d v="2016-06-10T16:28:00"/>
    <s v="Business"/>
    <s v="New York"/>
    <s v="Jamaica"/>
    <x v="173"/>
    <x v="3"/>
  </r>
  <r>
    <d v="2016-06-10T21:47:00"/>
    <d v="2016-06-10T22:04:00"/>
    <s v="Business"/>
    <s v="Cary"/>
    <s v="Durham"/>
    <x v="27"/>
    <x v="3"/>
  </r>
  <r>
    <d v="2016-06-10T23:53:00"/>
    <d v="2016-06-11T00:01:00"/>
    <s v="Business"/>
    <s v="Durham"/>
    <s v="Cary"/>
    <x v="100"/>
    <x v="3"/>
  </r>
  <r>
    <d v="2016-06-11T17:08:00"/>
    <d v="2016-06-11T17:16:00"/>
    <s v="Business"/>
    <s v="Cary"/>
    <s v="Morrisville"/>
    <x v="174"/>
    <x v="2"/>
  </r>
  <r>
    <d v="2016-06-11T17:34:00"/>
    <d v="2016-06-11T17:39:00"/>
    <s v="Business"/>
    <s v="Morrisville"/>
    <s v="Cary"/>
    <x v="43"/>
    <x v="0"/>
  </r>
  <r>
    <d v="2016-06-11T17:50:00"/>
    <d v="2016-06-11T17:56:00"/>
    <s v="Business"/>
    <s v="Westpark Place"/>
    <s v="Whitebridge"/>
    <x v="15"/>
    <x v="1"/>
  </r>
  <r>
    <d v="2016-06-11T21:45:00"/>
    <d v="2016-06-11T22:04:00"/>
    <s v="Business"/>
    <s v="Cary"/>
    <s v="Durham"/>
    <x v="27"/>
    <x v="3"/>
  </r>
  <r>
    <d v="2016-06-11T23:39:00"/>
    <d v="2016-06-12T00:05:00"/>
    <s v="Business"/>
    <s v="Durham"/>
    <s v="Cary"/>
    <x v="100"/>
    <x v="3"/>
  </r>
  <r>
    <d v="2016-06-12T19:53:00"/>
    <d v="2016-06-12T19:56:00"/>
    <s v="Business"/>
    <s v="Cary"/>
    <s v="Morrisville"/>
    <x v="88"/>
    <x v="0"/>
  </r>
  <r>
    <d v="2016-06-12T20:05:00"/>
    <d v="2016-06-12T20:16:00"/>
    <s v="Business"/>
    <s v="Morrisville"/>
    <s v="Cary"/>
    <x v="5"/>
    <x v="2"/>
  </r>
  <r>
    <d v="2016-06-12T21:58:00"/>
    <d v="2016-06-12T22:19:00"/>
    <s v="Business"/>
    <s v="Parkway"/>
    <s v="Whitebridge"/>
    <x v="109"/>
    <x v="2"/>
  </r>
  <r>
    <d v="2016-06-13T05:23:00"/>
    <d v="2016-06-13T05:42:00"/>
    <s v="Business"/>
    <s v="Cary"/>
    <s v="Morrisville"/>
    <x v="69"/>
    <x v="0"/>
  </r>
  <r>
    <d v="2016-06-13T14:17:00"/>
    <d v="2016-06-13T14:46:00"/>
    <s v="Business"/>
    <s v="Oakland"/>
    <s v="Emeryville"/>
    <x v="122"/>
    <x v="3"/>
  </r>
  <r>
    <d v="2016-06-13T18:08:00"/>
    <d v="2016-06-13T18:47:00"/>
    <s v="Business"/>
    <s v="Emeryville"/>
    <s v="Berkeley"/>
    <x v="25"/>
    <x v="0"/>
  </r>
  <r>
    <d v="2016-06-13T18:54:00"/>
    <d v="2016-06-13T19:23:00"/>
    <s v="Business"/>
    <s v="Berkeley"/>
    <s v="Oakland"/>
    <x v="0"/>
    <x v="0"/>
  </r>
  <r>
    <d v="2016-06-13T20:00:00"/>
    <d v="2016-06-13T20:05:00"/>
    <s v="Business"/>
    <s v="Oakland"/>
    <s v="Unknown Location"/>
    <x v="44"/>
    <x v="4"/>
  </r>
  <r>
    <d v="2016-06-14T12:03:00"/>
    <d v="2016-06-14T12:21:00"/>
    <s v="Business"/>
    <s v="Emeryville"/>
    <s v="San Francisco"/>
    <x v="165"/>
    <x v="1"/>
  </r>
  <r>
    <d v="2016-06-14T16:09:00"/>
    <d v="2016-06-14T16:39:00"/>
    <s v="Business"/>
    <s v="San Francisco"/>
    <s v="Emeryville"/>
    <x v="175"/>
    <x v="3"/>
  </r>
  <r>
    <d v="2016-06-14T17:15:00"/>
    <d v="2016-06-14T17:24:00"/>
    <s v="Business"/>
    <s v="Emeryville"/>
    <s v="Oakland"/>
    <x v="0"/>
    <x v="3"/>
  </r>
  <r>
    <d v="2016-06-14T17:27:00"/>
    <d v="2016-06-14T17:57:00"/>
    <s v="Business"/>
    <s v="Downtown"/>
    <s v="Bay Farm Island"/>
    <x v="167"/>
    <x v="2"/>
  </r>
  <r>
    <d v="2016-06-15T01:46:00"/>
    <d v="2016-06-15T02:06:00"/>
    <s v="Business"/>
    <s v="Kenner"/>
    <s v="New Orleans"/>
    <x v="110"/>
    <x v="6"/>
  </r>
  <r>
    <d v="2016-06-15T15:26:00"/>
    <d v="2016-06-15T15:34:00"/>
    <s v="Business"/>
    <s v="CBD"/>
    <s v="Lower Garden District"/>
    <x v="16"/>
    <x v="6"/>
  </r>
  <r>
    <d v="2016-06-15T16:37:00"/>
    <d v="2016-06-15T17:02:00"/>
    <s v="Business"/>
    <s v="Lower Garden District"/>
    <s v="Lakeview"/>
    <x v="13"/>
    <x v="4"/>
  </r>
  <r>
    <d v="2016-06-15T17:29:00"/>
    <d v="2016-06-15T17:49:00"/>
    <s v="Personal"/>
    <s v="Lakeview"/>
    <s v="Storyville"/>
    <x v="47"/>
    <x v="1"/>
  </r>
  <r>
    <d v="2016-06-15T19:52:00"/>
    <d v="2016-06-15T19:58:00"/>
    <s v="Business"/>
    <s v="Storyville"/>
    <s v="Faubourg Marigny"/>
    <x v="62"/>
    <x v="0"/>
  </r>
  <r>
    <d v="2016-06-16T13:36:00"/>
    <d v="2016-06-16T14:30:00"/>
    <s v="Business"/>
    <s v="New Orleans"/>
    <s v="Metairie"/>
    <x v="92"/>
    <x v="1"/>
  </r>
  <r>
    <d v="2016-06-16T14:42:00"/>
    <d v="2016-06-16T14:46:00"/>
    <s v="Business"/>
    <s v="Metairie"/>
    <s v="Kenner"/>
    <x v="38"/>
    <x v="1"/>
  </r>
  <r>
    <d v="2016-06-16T15:17:00"/>
    <d v="2016-06-16T15:41:00"/>
    <s v="Business"/>
    <s v="Kenner"/>
    <s v="New Orleans"/>
    <x v="176"/>
    <x v="1"/>
  </r>
  <r>
    <d v="2016-06-16T19:39:00"/>
    <d v="2016-06-16T19:56:00"/>
    <s v="Business"/>
    <s v="New Orleans"/>
    <s v="Kenner"/>
    <x v="39"/>
    <x v="1"/>
  </r>
  <r>
    <d v="2016-06-16T21:43:00"/>
    <d v="2016-06-16T21:56:00"/>
    <s v="Business"/>
    <s v="Kenner"/>
    <s v="New Orleans"/>
    <x v="87"/>
    <x v="1"/>
  </r>
  <r>
    <d v="2016-06-17T16:11:00"/>
    <d v="2016-06-17T16:44:00"/>
    <s v="Business"/>
    <s v="New Orleans"/>
    <s v="Kenner"/>
    <x v="177"/>
    <x v="1"/>
  </r>
  <r>
    <d v="2016-06-18T00:29:00"/>
    <d v="2016-06-18T00:51:00"/>
    <s v="Business"/>
    <s v="Morrisville"/>
    <s v="Cary"/>
    <x v="151"/>
    <x v="1"/>
  </r>
  <r>
    <d v="2016-06-19T02:39:00"/>
    <d v="2016-06-19T02:50:00"/>
    <s v="Business"/>
    <s v="Cary"/>
    <s v="Raleigh"/>
    <x v="51"/>
    <x v="1"/>
  </r>
  <r>
    <d v="2016-06-19T05:51:00"/>
    <d v="2016-06-19T06:00:00"/>
    <s v="Business"/>
    <s v="Raleigh"/>
    <s v="Cary"/>
    <x v="111"/>
    <x v="1"/>
  </r>
  <r>
    <d v="2016-06-21T15:39:00"/>
    <d v="2016-06-21T16:08:00"/>
    <s v="Business"/>
    <s v="Cary"/>
    <s v="Raleigh"/>
    <x v="178"/>
    <x v="1"/>
  </r>
  <r>
    <d v="2016-06-21T17:11:00"/>
    <d v="2016-06-21T18:02:00"/>
    <s v="Business"/>
    <s v="Raleigh"/>
    <s v="Cary"/>
    <x v="179"/>
    <x v="0"/>
  </r>
  <r>
    <d v="2016-06-24T10:41:00"/>
    <d v="2016-06-24T10:57:00"/>
    <s v="Business"/>
    <s v="Whitebridge"/>
    <s v="Waverly Place"/>
    <x v="6"/>
    <x v="0"/>
  </r>
  <r>
    <d v="2016-06-24T11:54:00"/>
    <d v="2016-06-24T12:01:00"/>
    <s v="Business"/>
    <s v="Waverly Place"/>
    <s v="Macgregor Downs"/>
    <x v="102"/>
    <x v="0"/>
  </r>
  <r>
    <d v="2016-06-24T12:19:00"/>
    <d v="2016-06-24T12:37:00"/>
    <s v="Business"/>
    <s v="Cary"/>
    <s v="Raleigh"/>
    <x v="180"/>
    <x v="2"/>
  </r>
  <r>
    <d v="2016-06-24T12:50:00"/>
    <d v="2016-06-24T13:12:00"/>
    <s v="Business"/>
    <s v="Raleigh"/>
    <s v="Morrisville"/>
    <x v="54"/>
    <x v="2"/>
  </r>
  <r>
    <d v="2016-06-24T13:18:00"/>
    <d v="2016-06-24T13:27:00"/>
    <s v="Business"/>
    <s v="Morrisville"/>
    <s v="Cary"/>
    <x v="97"/>
    <x v="2"/>
  </r>
  <r>
    <d v="2016-06-24T14:01:00"/>
    <d v="2016-06-24T14:20:00"/>
    <s v="Business"/>
    <s v="Cary"/>
    <s v="Morrisville"/>
    <x v="69"/>
    <x v="5"/>
  </r>
  <r>
    <d v="2016-06-24T20:44:00"/>
    <d v="2016-06-24T21:02:00"/>
    <s v="Business"/>
    <s v="Kenner"/>
    <s v="New Orleans"/>
    <x v="114"/>
    <x v="1"/>
  </r>
  <r>
    <d v="2016-06-25T09:03:00"/>
    <d v="2016-06-25T09:12:00"/>
    <s v="Business"/>
    <s v="CBD"/>
    <s v="Bywater"/>
    <x v="77"/>
    <x v="1"/>
  </r>
  <r>
    <d v="2016-06-25T09:15:00"/>
    <d v="2016-06-25T10:08:00"/>
    <s v="Business"/>
    <s v="New Orleans"/>
    <s v="Chalmette"/>
    <x v="23"/>
    <x v="6"/>
  </r>
  <r>
    <d v="2016-06-25T10:18:00"/>
    <d v="2016-06-25T10:25:00"/>
    <s v="Business"/>
    <s v="Chalmette"/>
    <s v="Arabi"/>
    <x v="53"/>
    <x v="2"/>
  </r>
  <r>
    <d v="2016-06-25T10:50:00"/>
    <d v="2016-06-25T11:18:00"/>
    <s v="Business"/>
    <s v="Arabi"/>
    <s v="Metairie"/>
    <x v="67"/>
    <x v="0"/>
  </r>
  <r>
    <d v="2016-06-25T11:25:00"/>
    <d v="2016-06-25T11:34:00"/>
    <s v="Business"/>
    <s v="Pontchartrain Shores"/>
    <s v="Pontchartrain Shores"/>
    <x v="15"/>
    <x v="3"/>
  </r>
  <r>
    <d v="2016-06-25T11:53:00"/>
    <d v="2016-06-25T13:21:00"/>
    <s v="Business"/>
    <s v="Metairie"/>
    <s v="New Orleans"/>
    <x v="120"/>
    <x v="3"/>
  </r>
  <r>
    <d v="2016-06-25T19:47:00"/>
    <d v="2016-06-25T19:58:00"/>
    <s v="Business"/>
    <s v="Storyville"/>
    <s v="Marigny"/>
    <x v="14"/>
    <x v="1"/>
  </r>
  <r>
    <d v="2016-06-25T23:19:00"/>
    <d v="2016-06-25T23:26:00"/>
    <s v="Business"/>
    <s v="Marigny"/>
    <s v="Storyville"/>
    <x v="62"/>
    <x v="1"/>
  </r>
  <r>
    <d v="2016-06-26T17:43:00"/>
    <d v="2016-06-26T18:18:00"/>
    <s v="Business"/>
    <s v="New Orleans"/>
    <s v="Kenner"/>
    <x v="121"/>
    <x v="3"/>
  </r>
  <r>
    <d v="2016-06-26T18:45:00"/>
    <d v="2016-06-26T19:12:00"/>
    <s v="Business"/>
    <s v="Pontchartrain Shores"/>
    <s v="Pontchartrain Shores"/>
    <x v="2"/>
    <x v="1"/>
  </r>
  <r>
    <d v="2016-06-26T19:41:00"/>
    <d v="2016-06-26T19:50:00"/>
    <s v="Business"/>
    <s v="Kenner"/>
    <s v="Kenner"/>
    <x v="95"/>
    <x v="1"/>
  </r>
  <r>
    <d v="2016-06-26T21:14:00"/>
    <d v="2016-06-26T21:42:00"/>
    <s v="Business"/>
    <s v="Kenner"/>
    <s v="New Orleans"/>
    <x v="73"/>
    <x v="1"/>
  </r>
  <r>
    <d v="2016-06-27T07:37:00"/>
    <d v="2016-06-27T08:48:00"/>
    <s v="Business"/>
    <s v="New Orleans"/>
    <s v="Covington"/>
    <x v="181"/>
    <x v="1"/>
  </r>
  <r>
    <d v="2016-06-27T08:51:00"/>
    <d v="2016-06-27T09:00:00"/>
    <s v="Business"/>
    <s v="Covington"/>
    <s v="Covington"/>
    <x v="88"/>
    <x v="1"/>
  </r>
  <r>
    <d v="2016-06-27T09:05:00"/>
    <d v="2016-06-27T09:33:00"/>
    <s v="Business"/>
    <s v="Covington"/>
    <s v="Covington"/>
    <x v="180"/>
    <x v="1"/>
  </r>
  <r>
    <d v="2016-06-27T09:43:00"/>
    <d v="2016-06-27T10:08:00"/>
    <s v="Business"/>
    <s v="Covington"/>
    <s v="Covington"/>
    <x v="44"/>
    <x v="1"/>
  </r>
  <r>
    <d v="2016-06-27T10:22:00"/>
    <d v="2016-06-27T10:39:00"/>
    <s v="Business"/>
    <s v="Covington"/>
    <s v="Covington"/>
    <x v="29"/>
    <x v="1"/>
  </r>
  <r>
    <d v="2016-06-27T10:51:00"/>
    <d v="2016-06-27T10:58:00"/>
    <s v="Business"/>
    <s v="Covington"/>
    <s v="Covington"/>
    <x v="18"/>
    <x v="1"/>
  </r>
  <r>
    <d v="2016-06-27T11:06:00"/>
    <d v="2016-06-27T11:24:00"/>
    <s v="Business"/>
    <s v="Covington"/>
    <s v="Mandeville"/>
    <x v="3"/>
    <x v="1"/>
  </r>
  <r>
    <d v="2016-06-27T11:30:00"/>
    <d v="2016-06-27T11:42:00"/>
    <s v="Business"/>
    <s v="Mandeville"/>
    <s v="Mandeville"/>
    <x v="109"/>
    <x v="1"/>
  </r>
  <r>
    <d v="2016-06-27T12:22:00"/>
    <d v="2016-06-27T13:02:00"/>
    <s v="Business"/>
    <s v="Mandeville"/>
    <s v="Metairie"/>
    <x v="182"/>
    <x v="1"/>
  </r>
  <r>
    <d v="2016-06-27T13:56:00"/>
    <d v="2016-06-27T14:05:00"/>
    <s v="Business"/>
    <s v="Metairie"/>
    <s v="Kenner"/>
    <x v="183"/>
    <x v="1"/>
  </r>
  <r>
    <d v="2016-06-27T21:09:00"/>
    <d v="2016-06-27T21:19:00"/>
    <s v="Business"/>
    <s v="Jamestown Court"/>
    <s v="Jamestown Court"/>
    <x v="32"/>
    <x v="1"/>
  </r>
  <r>
    <d v="2016-06-28T00:48:00"/>
    <d v="2016-06-28T01:05:00"/>
    <s v="Business"/>
    <s v="Morrisville"/>
    <s v="Cary"/>
    <x v="158"/>
    <x v="4"/>
  </r>
  <r>
    <d v="2016-06-28T20:13:00"/>
    <d v="2016-06-28T20:33:00"/>
    <s v="Business"/>
    <s v="Cary"/>
    <s v="Durham"/>
    <x v="27"/>
    <x v="3"/>
  </r>
  <r>
    <d v="2016-06-28T23:34:00"/>
    <d v="2016-06-28T23:59:00"/>
    <s v="Business"/>
    <s v="Durham"/>
    <s v="Cary"/>
    <x v="100"/>
    <x v="3"/>
  </r>
  <r>
    <d v="2016-06-28T23:34:00"/>
    <d v="2016-06-28T23:59:00"/>
    <s v="Business"/>
    <s v="Durham"/>
    <s v="Cary"/>
    <x v="100"/>
    <x v="3"/>
  </r>
  <r>
    <d v="2016-06-29T08:56:00"/>
    <d v="2016-06-29T09:24:00"/>
    <s v="Business"/>
    <s v="Cary"/>
    <s v="Morrisville"/>
    <x v="84"/>
    <x v="1"/>
  </r>
  <r>
    <d v="2016-06-29T10:22:00"/>
    <d v="2016-06-29T10:38:00"/>
    <s v="Business"/>
    <s v="Morrisville"/>
    <s v="Cary"/>
    <x v="184"/>
    <x v="1"/>
  </r>
  <r>
    <d v="2016-06-29T11:49:00"/>
    <d v="2016-06-29T11:51:00"/>
    <s v="Business"/>
    <s v="Whitebridge"/>
    <s v="Westpark Place"/>
    <x v="14"/>
    <x v="1"/>
  </r>
  <r>
    <d v="2016-06-29T12:11:00"/>
    <d v="2016-06-29T12:16:00"/>
    <s v="Business"/>
    <s v="Westpark Place"/>
    <s v="Whitebridge"/>
    <x v="18"/>
    <x v="1"/>
  </r>
  <r>
    <d v="2016-06-29T20:11:00"/>
    <d v="2016-06-29T20:29:00"/>
    <s v="Business"/>
    <s v="Cary"/>
    <s v="Durham"/>
    <x v="27"/>
    <x v="3"/>
  </r>
  <r>
    <d v="2016-06-29T23:38:00"/>
    <d v="2016-06-30T00:00:00"/>
    <s v="Business"/>
    <s v="Durham"/>
    <s v="Cary"/>
    <x v="100"/>
    <x v="3"/>
  </r>
  <r>
    <d v="2016-06-30T20:09:00"/>
    <d v="2016-06-30T20:26:00"/>
    <s v="Business"/>
    <s v="Cary"/>
    <s v="Durham"/>
    <x v="100"/>
    <x v="3"/>
  </r>
  <r>
    <d v="2016-07-01T00:00:00"/>
    <d v="2016-07-01T00:25:00"/>
    <s v="Business"/>
    <s v="Durham"/>
    <s v="Cary"/>
    <x v="100"/>
    <x v="3"/>
  </r>
  <r>
    <d v="2016-07-01T09:34:00"/>
    <d v="2016-07-01T09:57:00"/>
    <s v="Business"/>
    <s v="Cary"/>
    <s v="Raleigh"/>
    <x v="185"/>
    <x v="3"/>
  </r>
  <r>
    <d v="2016-07-01T12:36:00"/>
    <d v="2016-07-01T13:00:00"/>
    <s v="Business"/>
    <s v="Raleigh"/>
    <s v="Cary"/>
    <x v="168"/>
    <x v="3"/>
  </r>
  <r>
    <d v="2016-07-01T20:06:00"/>
    <d v="2016-07-01T20:24:00"/>
    <s v="Business"/>
    <s v="Cary"/>
    <s v="Durham"/>
    <x v="116"/>
    <x v="3"/>
  </r>
  <r>
    <d v="2016-07-01T23:48:00"/>
    <d v="2016-07-02T00:09:00"/>
    <s v="Business"/>
    <s v="Durham"/>
    <s v="Cary"/>
    <x v="100"/>
    <x v="3"/>
  </r>
  <r>
    <d v="2016-07-02T20:18:00"/>
    <d v="2016-07-02T20:36:00"/>
    <s v="Business"/>
    <s v="Cary"/>
    <s v="Durham"/>
    <x v="45"/>
    <x v="3"/>
  </r>
  <r>
    <d v="2016-07-02T23:48:00"/>
    <d v="2016-07-03T00:12:00"/>
    <s v="Business"/>
    <s v="Durham"/>
    <s v="Cary"/>
    <x v="100"/>
    <x v="3"/>
  </r>
  <r>
    <d v="2016-07-03T00:28:00"/>
    <d v="2016-07-03T00:38:00"/>
    <s v="Business"/>
    <s v="Cary"/>
    <s v="Morrisville"/>
    <x v="97"/>
    <x v="2"/>
  </r>
  <r>
    <d v="2016-07-03T03:02:00"/>
    <d v="2016-07-03T03:08:00"/>
    <s v="Business"/>
    <s v="Morrisville"/>
    <s v="Cary"/>
    <x v="97"/>
    <x v="2"/>
  </r>
  <r>
    <d v="2016-07-03T20:00:00"/>
    <d v="2016-07-03T20:18:00"/>
    <s v="Business"/>
    <s v="Cary"/>
    <s v="Durham"/>
    <x v="100"/>
    <x v="3"/>
  </r>
  <r>
    <d v="2016-07-04T00:32:00"/>
    <d v="2016-07-04T00:47:00"/>
    <s v="Business"/>
    <s v="Durham"/>
    <s v="Cary"/>
    <x v="100"/>
    <x v="3"/>
  </r>
  <r>
    <d v="2016-07-04T17:31:00"/>
    <d v="2016-07-04T17:49:00"/>
    <s v="Business"/>
    <s v="Whitebridge"/>
    <s v="Summerwinds"/>
    <x v="93"/>
    <x v="3"/>
  </r>
  <r>
    <d v="2016-07-04T18:23:00"/>
    <d v="2016-07-04T18:49:00"/>
    <s v="Business"/>
    <s v="Summerwinds"/>
    <s v="Whitebridge"/>
    <x v="151"/>
    <x v="5"/>
  </r>
  <r>
    <d v="2016-07-04T20:00:00"/>
    <d v="2016-07-04T20:17:00"/>
    <s v="Business"/>
    <s v="Cary"/>
    <s v="Durham"/>
    <x v="23"/>
    <x v="3"/>
  </r>
  <r>
    <d v="2016-07-05T00:00:00"/>
    <d v="2016-07-05T00:05:00"/>
    <s v="Business"/>
    <s v="Parkwood"/>
    <s v="Parkwood"/>
    <x v="115"/>
    <x v="2"/>
  </r>
  <r>
    <d v="2016-07-05T00:08:00"/>
    <d v="2016-07-05T00:28:00"/>
    <s v="Business"/>
    <s v="Durham"/>
    <s v="Cary"/>
    <x v="100"/>
    <x v="3"/>
  </r>
  <r>
    <d v="2016-07-05T16:48:00"/>
    <d v="2016-07-05T16:52:00"/>
    <s v="Business"/>
    <s v="Whitebridge"/>
    <s v="Whitebridge"/>
    <x v="186"/>
    <x v="2"/>
  </r>
  <r>
    <d v="2016-07-05T20:06:00"/>
    <d v="2016-07-05T20:26:00"/>
    <s v="Business"/>
    <s v="Cary"/>
    <s v="Durham"/>
    <x v="100"/>
    <x v="1"/>
  </r>
  <r>
    <d v="2016-07-05T22:41:00"/>
    <d v="2016-07-05T23:02:00"/>
    <s v="Business"/>
    <s v="Durham"/>
    <s v="Morrisville"/>
    <x v="180"/>
    <x v="1"/>
  </r>
  <r>
    <d v="2016-07-06T00:33:00"/>
    <d v="2016-07-06T00:53:00"/>
    <s v="Business"/>
    <s v="Morrisville"/>
    <s v="Cary"/>
    <x v="98"/>
    <x v="0"/>
  </r>
  <r>
    <d v="2016-07-06T09:06:00"/>
    <d v="2016-07-06T09:25:00"/>
    <s v="Business"/>
    <s v="Cary"/>
    <s v="Durham"/>
    <x v="100"/>
    <x v="3"/>
  </r>
  <r>
    <d v="2016-07-06T12:48:00"/>
    <d v="2016-07-06T13:08:00"/>
    <s v="Business"/>
    <s v="Durham"/>
    <s v="Cary"/>
    <x v="100"/>
    <x v="1"/>
  </r>
  <r>
    <d v="2016-07-06T20:04:00"/>
    <d v="2016-07-06T20:14:00"/>
    <s v="Business"/>
    <s v="Cary"/>
    <s v="Morrisville"/>
    <x v="171"/>
    <x v="0"/>
  </r>
  <r>
    <d v="2016-07-06T23:46:00"/>
    <d v="2016-07-06T23:59:00"/>
    <s v="Business"/>
    <s v="Morrisville"/>
    <s v="Cary"/>
    <x v="97"/>
    <x v="4"/>
  </r>
  <r>
    <d v="2016-07-07T08:22:00"/>
    <d v="2016-07-07T08:50:00"/>
    <s v="Business"/>
    <s v="Cary"/>
    <s v="Morrisville"/>
    <x v="150"/>
    <x v="5"/>
  </r>
  <r>
    <d v="2016-07-07T10:27:00"/>
    <d v="2016-07-07T10:33:00"/>
    <s v="Business"/>
    <s v="Morrisville"/>
    <s v="Cary"/>
    <x v="71"/>
    <x v="1"/>
  </r>
  <r>
    <d v="2016-07-07T12:59:00"/>
    <d v="2016-07-07T13:35:00"/>
    <s v="Business"/>
    <s v="Kenner"/>
    <s v="New Orleans"/>
    <x v="114"/>
    <x v="1"/>
  </r>
  <r>
    <d v="2016-07-08T09:50:00"/>
    <d v="2016-07-08T10:13:00"/>
    <s v="Business"/>
    <s v="CBD"/>
    <s v="Pontchartrain Beach"/>
    <x v="55"/>
    <x v="1"/>
  </r>
  <r>
    <d v="2016-07-08T10:51:00"/>
    <d v="2016-07-08T11:12:00"/>
    <s v="Business"/>
    <s v="Pontchartrain Beach"/>
    <s v="CBD"/>
    <x v="187"/>
    <x v="1"/>
  </r>
  <r>
    <d v="2016-07-08T13:48:00"/>
    <d v="2016-07-08T14:11:00"/>
    <s v="Business"/>
    <s v="New Orleans"/>
    <s v="Metairie"/>
    <x v="117"/>
    <x v="1"/>
  </r>
  <r>
    <d v="2016-07-08T17:11:00"/>
    <d v="2016-07-08T17:30:00"/>
    <s v="Business"/>
    <s v="Kenner"/>
    <s v="New Orleans"/>
    <x v="122"/>
    <x v="1"/>
  </r>
  <r>
    <d v="2016-07-09T09:03:00"/>
    <d v="2016-07-09T09:46:00"/>
    <s v="Business"/>
    <s v="New Orleans"/>
    <s v="Kenner"/>
    <x v="73"/>
    <x v="1"/>
  </r>
  <r>
    <d v="2016-07-09T09:52:00"/>
    <d v="2016-07-09T10:06:00"/>
    <s v="Business"/>
    <s v="Kenner"/>
    <s v="Metairie"/>
    <x v="106"/>
    <x v="1"/>
  </r>
  <r>
    <d v="2016-07-09T10:15:00"/>
    <d v="2016-07-09T10:33:00"/>
    <s v="Business"/>
    <s v="Metairie"/>
    <s v="New Orleans"/>
    <x v="65"/>
    <x v="1"/>
  </r>
  <r>
    <d v="2016-07-10T14:10:00"/>
    <d v="2016-07-10T14:17:00"/>
    <s v="Business"/>
    <s v="CBD"/>
    <s v="St Thomas"/>
    <x v="188"/>
    <x v="1"/>
  </r>
  <r>
    <d v="2016-07-10T16:04:00"/>
    <d v="2016-07-10T16:15:00"/>
    <s v="Business"/>
    <s v="St Thomas"/>
    <s v="CBD"/>
    <x v="18"/>
    <x v="1"/>
  </r>
  <r>
    <d v="2016-07-10T18:05:00"/>
    <d v="2016-07-10T18:21:00"/>
    <s v="Business"/>
    <s v="New Orleans"/>
    <s v="Kenner"/>
    <x v="87"/>
    <x v="1"/>
  </r>
  <r>
    <d v="2016-07-10T19:51:00"/>
    <d v="2016-07-10T20:08:00"/>
    <s v="Business"/>
    <s v="Kenner"/>
    <s v="New Orleans"/>
    <x v="189"/>
    <x v="1"/>
  </r>
  <r>
    <d v="2016-07-12T16:10:00"/>
    <d v="2016-07-12T16:45:00"/>
    <s v="Business"/>
    <s v="New Orleans"/>
    <s v="Kenner"/>
    <x v="190"/>
    <x v="1"/>
  </r>
  <r>
    <d v="2016-07-12T19:21:00"/>
    <d v="2016-07-12T19:26:00"/>
    <s v="Personal"/>
    <s v="Kenner"/>
    <s v="Kenner"/>
    <x v="34"/>
    <x v="1"/>
  </r>
  <r>
    <d v="2016-07-12T23:47:00"/>
    <d v="2016-07-13T00:11:00"/>
    <s v="Personal"/>
    <s v="Morrisville"/>
    <s v="Cary"/>
    <x v="151"/>
    <x v="1"/>
  </r>
  <r>
    <d v="2016-07-13T12:39:00"/>
    <d v="2016-07-13T13:20:00"/>
    <s v="Personal"/>
    <s v="Cary"/>
    <s v="Morrisville"/>
    <x v="80"/>
    <x v="1"/>
  </r>
  <r>
    <d v="2016-07-13T13:25:00"/>
    <d v="2016-07-13T13:39:00"/>
    <s v="Personal"/>
    <s v="Morrisville"/>
    <s v="Morrisville"/>
    <x v="95"/>
    <x v="1"/>
  </r>
  <r>
    <d v="2016-07-13T13:42:00"/>
    <d v="2016-07-13T13:54:00"/>
    <s v="Personal"/>
    <s v="Morrisville"/>
    <s v="Cary"/>
    <x v="183"/>
    <x v="1"/>
  </r>
  <r>
    <d v="2016-07-14T15:51:00"/>
    <d v="2016-07-14T15:59:00"/>
    <s v="Personal"/>
    <s v="Cary"/>
    <s v="Morrisville"/>
    <x v="171"/>
    <x v="1"/>
  </r>
  <r>
    <d v="2016-07-14T16:03:00"/>
    <d v="2016-07-14T16:34:00"/>
    <s v="Business"/>
    <s v="Morrisville"/>
    <s v="Morrisville"/>
    <x v="23"/>
    <x v="2"/>
  </r>
  <r>
    <d v="2016-07-14T16:39:00"/>
    <d v="2016-07-14T20:05:00"/>
    <s v="Business"/>
    <s v="Morrisville"/>
    <s v="Banner Elk"/>
    <x v="191"/>
    <x v="1"/>
  </r>
  <r>
    <d v="2016-07-15T11:32:00"/>
    <d v="2016-07-15T11:53:00"/>
    <s v="Personal"/>
    <s v="Banner Elk"/>
    <s v="Banner Elk"/>
    <x v="8"/>
    <x v="1"/>
  </r>
  <r>
    <d v="2016-07-15T12:09:00"/>
    <d v="2016-07-15T12:19:00"/>
    <s v="Personal"/>
    <s v="Banner Elk"/>
    <s v="Banner Elk"/>
    <x v="57"/>
    <x v="1"/>
  </r>
  <r>
    <d v="2016-07-15T12:35:00"/>
    <d v="2016-07-15T13:15:00"/>
    <s v="Personal"/>
    <s v="Banner Elk"/>
    <s v="Elk Park"/>
    <x v="192"/>
    <x v="1"/>
  </r>
  <r>
    <d v="2016-07-15T15:03:00"/>
    <d v="2016-07-15T15:33:00"/>
    <s v="Personal"/>
    <s v="Elk Park"/>
    <s v="Banner Elk"/>
    <x v="177"/>
    <x v="1"/>
  </r>
  <r>
    <d v="2016-07-15T15:40:00"/>
    <d v="2016-07-15T15:52:00"/>
    <s v="Personal"/>
    <s v="Banner Elk"/>
    <s v="Banner Elk"/>
    <x v="77"/>
    <x v="1"/>
  </r>
  <r>
    <d v="2016-07-16T13:14:00"/>
    <d v="2016-07-16T14:10:00"/>
    <s v="Personal"/>
    <s v="Banner Elk"/>
    <s v="Newland"/>
    <x v="193"/>
    <x v="1"/>
  </r>
  <r>
    <d v="2016-07-16T14:14:00"/>
    <d v="2016-07-16T14:30:00"/>
    <s v="Personal"/>
    <s v="Newland"/>
    <s v="Newland"/>
    <x v="103"/>
    <x v="1"/>
  </r>
  <r>
    <d v="2016-07-16T15:29:00"/>
    <d v="2016-07-16T16:57:00"/>
    <s v="Personal"/>
    <s v="Newland"/>
    <s v="Boone"/>
    <x v="194"/>
    <x v="1"/>
  </r>
  <r>
    <d v="2016-07-16T19:42:00"/>
    <d v="2016-07-16T20:35:00"/>
    <s v="Personal"/>
    <s v="Boone"/>
    <s v="Banner Elk"/>
    <x v="195"/>
    <x v="1"/>
  </r>
  <r>
    <d v="2016-07-16T21:45:00"/>
    <d v="2016-07-16T22:18:00"/>
    <s v="Personal"/>
    <s v="Banner Elk"/>
    <s v="Banner Elk"/>
    <x v="73"/>
    <x v="1"/>
  </r>
  <r>
    <d v="2016-07-16T22:50:00"/>
    <d v="2016-07-16T23:03:00"/>
    <s v="Business"/>
    <s v="Banner Elk"/>
    <s v="Banner Elk"/>
    <x v="183"/>
    <x v="2"/>
  </r>
  <r>
    <d v="2016-07-17T11:23:00"/>
    <d v="2016-07-17T11:50:00"/>
    <s v="Personal"/>
    <s v="Banner Elk"/>
    <s v="Boone"/>
    <x v="21"/>
    <x v="7"/>
  </r>
  <r>
    <d v="2016-07-17T12:20:00"/>
    <d v="2016-07-17T15:25:00"/>
    <s v="Personal"/>
    <s v="Boone"/>
    <s v="Cary"/>
    <x v="196"/>
    <x v="8"/>
  </r>
  <r>
    <d v="2016-07-18T10:37:00"/>
    <d v="2016-07-18T10:49:00"/>
    <s v="Personal"/>
    <s v="Cary"/>
    <s v="Morrisville"/>
    <x v="197"/>
    <x v="9"/>
  </r>
  <r>
    <d v="2016-07-18T10:54:00"/>
    <d v="2016-07-18T11:15:00"/>
    <s v="Personal"/>
    <s v="Morrisville"/>
    <s v="Cary"/>
    <x v="59"/>
    <x v="9"/>
  </r>
  <r>
    <d v="2016-07-18T11:25:00"/>
    <d v="2016-07-18T11:36:00"/>
    <s v="Personal"/>
    <s v="Northwoods"/>
    <s v="Preston"/>
    <x v="171"/>
    <x v="9"/>
  </r>
  <r>
    <d v="2016-07-18T11:40:00"/>
    <d v="2016-07-18T11:56:00"/>
    <s v="Personal"/>
    <s v="Preston"/>
    <s v="Whitebridge"/>
    <x v="3"/>
    <x v="9"/>
  </r>
  <r>
    <d v="2016-07-18T17:12:00"/>
    <d v="2016-07-18T17:33:00"/>
    <s v="Business"/>
    <s v="Cary"/>
    <s v="Apex"/>
    <x v="28"/>
    <x v="3"/>
  </r>
  <r>
    <d v="2016-07-18T18:32:00"/>
    <d v="2016-07-18T18:47:00"/>
    <s v="Business"/>
    <s v="Apex"/>
    <s v="Cary"/>
    <x v="47"/>
    <x v="0"/>
  </r>
  <r>
    <d v="2016-07-18T19:07:00"/>
    <d v="2016-07-18T19:14:00"/>
    <s v="Business"/>
    <s v="Cary"/>
    <s v="Morrisville"/>
    <x v="171"/>
    <x v="0"/>
  </r>
  <r>
    <d v="2016-07-18T20:28:00"/>
    <d v="2016-07-18T20:32:00"/>
    <s v="Business"/>
    <s v="Hazelwood"/>
    <s v="Weston"/>
    <x v="129"/>
    <x v="2"/>
  </r>
  <r>
    <d v="2016-07-18T21:11:00"/>
    <d v="2016-07-18T21:19:00"/>
    <s v="Business"/>
    <s v="Morrisville"/>
    <s v="Cary"/>
    <x v="103"/>
    <x v="0"/>
  </r>
  <r>
    <d v="2016-07-19T10:35:00"/>
    <d v="2016-07-19T10:51:00"/>
    <s v="Business"/>
    <s v="Whitebridge"/>
    <s v="Stonewater"/>
    <x v="13"/>
    <x v="4"/>
  </r>
  <r>
    <d v="2016-07-19T10:56:00"/>
    <d v="2016-07-19T11:11:00"/>
    <s v="Business"/>
    <s v="Stonewater"/>
    <s v="Lexington Park at Amberly"/>
    <x v="61"/>
    <x v="3"/>
  </r>
  <r>
    <d v="2016-07-19T11:30:00"/>
    <d v="2016-07-19T12:00:00"/>
    <s v="Business"/>
    <s v="Lexington Park at Amberly"/>
    <s v="Whitebridge"/>
    <x v="151"/>
    <x v="0"/>
  </r>
  <r>
    <d v="2016-07-19T17:14:00"/>
    <d v="2016-07-19T17:24:00"/>
    <s v="Business"/>
    <s v="Whitebridge"/>
    <s v="Chessington"/>
    <x v="25"/>
    <x v="2"/>
  </r>
  <r>
    <d v="2016-07-19T17:50:00"/>
    <d v="2016-07-19T18:08:00"/>
    <s v="Personal"/>
    <s v="Chessington"/>
    <s v="Whitebridge"/>
    <x v="2"/>
    <x v="1"/>
  </r>
  <r>
    <d v="2016-07-20T17:12:00"/>
    <d v="2016-07-20T17:24:00"/>
    <s v="Personal"/>
    <s v="Whitebridge"/>
    <s v="Edgehill Farms"/>
    <x v="109"/>
    <x v="1"/>
  </r>
  <r>
    <d v="2016-07-20T17:50:00"/>
    <d v="2016-07-20T17:57:00"/>
    <s v="Personal"/>
    <s v="Edgehill Farms"/>
    <s v="Preston"/>
    <x v="34"/>
    <x v="1"/>
  </r>
  <r>
    <d v="2016-07-20T18:16:00"/>
    <d v="2016-07-20T18:20:00"/>
    <s v="Personal"/>
    <s v="Preston"/>
    <s v="Whitebridge"/>
    <x v="34"/>
    <x v="1"/>
  </r>
  <r>
    <d v="2016-07-21T17:17:00"/>
    <d v="2016-07-21T17:23:00"/>
    <s v="Business"/>
    <s v="Whitebridge"/>
    <s v="Edgehill Farms"/>
    <x v="38"/>
    <x v="1"/>
  </r>
  <r>
    <d v="2016-07-21T17:42:00"/>
    <d v="2016-07-21T17:51:00"/>
    <s v="Business"/>
    <s v="Edgehill Farms"/>
    <s v="Burtrose"/>
    <x v="33"/>
    <x v="1"/>
  </r>
  <r>
    <d v="2016-07-21T18:27:00"/>
    <d v="2016-07-21T18:42:00"/>
    <s v="Business"/>
    <s v="Cary"/>
    <s v="Morrisville"/>
    <x v="174"/>
    <x v="1"/>
  </r>
  <r>
    <d v="2016-07-21T19:30:00"/>
    <d v="2016-07-21T19:39:00"/>
    <s v="Business"/>
    <s v="Morrisville"/>
    <s v="Cary"/>
    <x v="163"/>
    <x v="1"/>
  </r>
  <r>
    <d v="2016-07-22T10:42:00"/>
    <d v="2016-07-22T10:53:00"/>
    <s v="Business"/>
    <s v="Cary"/>
    <s v="Morrisville"/>
    <x v="103"/>
    <x v="1"/>
  </r>
  <r>
    <d v="2016-07-22T11:11:00"/>
    <d v="2016-07-22T11:25:00"/>
    <s v="Business"/>
    <s v="Morrisville"/>
    <s v="Cary"/>
    <x v="0"/>
    <x v="1"/>
  </r>
  <r>
    <d v="2016-07-22T11:37:00"/>
    <d v="2016-07-22T12:00:00"/>
    <s v="Business"/>
    <s v="Hazelwood"/>
    <s v="Lexington Park at Amberly"/>
    <x v="198"/>
    <x v="1"/>
  </r>
  <r>
    <d v="2016-07-22T12:14:00"/>
    <d v="2016-07-22T12:31:00"/>
    <s v="Business"/>
    <s v="Cary"/>
    <s v="Durham"/>
    <x v="26"/>
    <x v="1"/>
  </r>
  <r>
    <d v="2016-07-22T13:21:00"/>
    <d v="2016-07-22T13:42:00"/>
    <s v="Business"/>
    <s v="Durham"/>
    <s v="Cary"/>
    <x v="100"/>
    <x v="3"/>
  </r>
  <r>
    <d v="2016-07-22T14:27:00"/>
    <d v="2016-07-22T14:43:00"/>
    <s v="Business"/>
    <s v="Cary"/>
    <s v="Morrisville"/>
    <x v="59"/>
    <x v="0"/>
  </r>
  <r>
    <d v="2016-07-22T15:49:00"/>
    <d v="2016-07-22T16:22:00"/>
    <s v="Business"/>
    <s v="Morrisville"/>
    <s v="Cary"/>
    <x v="177"/>
    <x v="1"/>
  </r>
  <r>
    <d v="2016-07-22T18:33:00"/>
    <d v="2016-07-22T18:51:00"/>
    <s v="Business"/>
    <s v="Wayne Ridge"/>
    <s v="Whitebridge"/>
    <x v="26"/>
    <x v="1"/>
  </r>
  <r>
    <d v="2016-07-23T14:27:00"/>
    <d v="2016-07-23T14:44:00"/>
    <s v="Business"/>
    <s v="Cary"/>
    <s v="Morrisville"/>
    <x v="17"/>
    <x v="1"/>
  </r>
  <r>
    <d v="2016-07-23T14:48:00"/>
    <d v="2016-07-23T15:12:00"/>
    <s v="Business"/>
    <s v="Morrisville"/>
    <s v="Cary"/>
    <x v="199"/>
    <x v="1"/>
  </r>
  <r>
    <d v="2016-07-23T15:15:00"/>
    <d v="2016-07-23T15:27:00"/>
    <s v="Business"/>
    <s v="Cary"/>
    <s v="Morrisville"/>
    <x v="61"/>
    <x v="1"/>
  </r>
  <r>
    <d v="2016-07-23T15:50:00"/>
    <d v="2016-07-23T16:10:00"/>
    <s v="Business"/>
    <s v="Morrisville"/>
    <s v="Cary"/>
    <x v="98"/>
    <x v="1"/>
  </r>
  <r>
    <d v="2016-07-23T20:17:00"/>
    <d v="2016-07-23T20:33:00"/>
    <s v="Business"/>
    <s v="Cary"/>
    <s v="Durham"/>
    <x v="27"/>
    <x v="3"/>
  </r>
  <r>
    <d v="2016-07-23T23:18:00"/>
    <d v="2016-07-23T23:43:00"/>
    <s v="Business"/>
    <s v="Durham"/>
    <s v="Cary"/>
    <x v="100"/>
    <x v="3"/>
  </r>
  <r>
    <d v="2016-07-25T10:35:00"/>
    <d v="2016-07-25T10:41:00"/>
    <s v="Business"/>
    <s v="Whitebridge"/>
    <s v="Parkway"/>
    <x v="62"/>
    <x v="1"/>
  </r>
  <r>
    <d v="2016-07-25T10:47:00"/>
    <d v="2016-07-25T10:58:00"/>
    <s v="Business"/>
    <s v="Cary"/>
    <s v="Morrisville"/>
    <x v="106"/>
    <x v="1"/>
  </r>
  <r>
    <d v="2016-07-25T11:04:00"/>
    <d v="2016-07-25T11:33:00"/>
    <s v="Business"/>
    <s v="Morrisville"/>
    <s v="Cary"/>
    <x v="150"/>
    <x v="1"/>
  </r>
  <r>
    <d v="2016-07-25T11:37:00"/>
    <d v="2016-07-25T11:44:00"/>
    <s v="Business"/>
    <s v="Parkway"/>
    <s v="Whitebridge"/>
    <x v="15"/>
    <x v="1"/>
  </r>
  <r>
    <d v="2016-07-26T15:43:00"/>
    <d v="2016-07-26T15:49:00"/>
    <s v="Business"/>
    <s v="Whitebridge"/>
    <s v="Westpark Place"/>
    <x v="95"/>
    <x v="1"/>
  </r>
  <r>
    <d v="2016-07-26T17:14:00"/>
    <d v="2016-07-26T17:24:00"/>
    <s v="Business"/>
    <s v="Westpark Place"/>
    <s v="Whitebridge"/>
    <x v="102"/>
    <x v="1"/>
  </r>
  <r>
    <d v="2016-07-26T20:52:00"/>
    <d v="2016-07-26T21:00:00"/>
    <s v="Business"/>
    <s v="Cary"/>
    <s v="Morrisville"/>
    <x v="88"/>
    <x v="0"/>
  </r>
  <r>
    <d v="2016-07-26T22:31:00"/>
    <d v="2016-07-26T22:39:00"/>
    <s v="Business"/>
    <s v="Morrisville"/>
    <s v="Cary"/>
    <x v="88"/>
    <x v="0"/>
  </r>
  <r>
    <d v="2016-07-27T19:08:00"/>
    <d v="2016-07-27T19:20:00"/>
    <s v="Business"/>
    <s v="Cary"/>
    <s v="Morrisville"/>
    <x v="109"/>
    <x v="1"/>
  </r>
  <r>
    <d v="2016-07-27T21:34:00"/>
    <d v="2016-07-27T21:57:00"/>
    <s v="Business"/>
    <s v="Morrisville"/>
    <s v="Raleigh"/>
    <x v="41"/>
    <x v="1"/>
  </r>
  <r>
    <d v="2016-07-27T22:00:00"/>
    <d v="2016-07-27T22:26:00"/>
    <s v="Business"/>
    <s v="Raleigh"/>
    <s v="Morrisville"/>
    <x v="200"/>
    <x v="1"/>
  </r>
  <r>
    <d v="2016-07-28T00:04:00"/>
    <d v="2016-07-28T00:09:00"/>
    <s v="Business"/>
    <s v="Morrisville"/>
    <s v="Cary"/>
    <x v="33"/>
    <x v="1"/>
  </r>
  <r>
    <d v="2016-07-29T15:45:00"/>
    <d v="2016-07-29T15:47:00"/>
    <s v="Business"/>
    <s v="Whitebridge"/>
    <s v="Westpark Place"/>
    <x v="95"/>
    <x v="1"/>
  </r>
  <r>
    <d v="2016-07-29T17:27:00"/>
    <d v="2016-07-29T17:45:00"/>
    <s v="Business"/>
    <s v="Westpark Place"/>
    <s v="Whitebridge"/>
    <x v="95"/>
    <x v="0"/>
  </r>
  <r>
    <d v="2016-07-30T17:02:00"/>
    <d v="2016-07-30T17:27:00"/>
    <s v="Business"/>
    <s v="Cary"/>
    <s v="Durham"/>
    <x v="170"/>
    <x v="1"/>
  </r>
  <r>
    <d v="2016-07-30T21:16:00"/>
    <d v="2016-07-30T21:41:00"/>
    <s v="Business"/>
    <s v="Durham"/>
    <s v="Cary"/>
    <x v="185"/>
    <x v="1"/>
  </r>
  <r>
    <d v="2016-07-31T17:30:00"/>
    <d v="2016-07-31T17:37:00"/>
    <s v="Business"/>
    <s v="Westpark Place"/>
    <s v="Whitebridge"/>
    <x v="18"/>
    <x v="1"/>
  </r>
  <r>
    <d v="2016-08-01T12:47:00"/>
    <d v="2016-08-01T13:04:00"/>
    <s v="Business"/>
    <s v="Whitebridge"/>
    <s v="Arlington Park at Amberly"/>
    <x v="12"/>
    <x v="1"/>
  </r>
  <r>
    <d v="2016-08-01T13:08:00"/>
    <d v="2016-08-01T13:19:00"/>
    <s v="Business"/>
    <s v="Arlington Park at Amberly"/>
    <s v="Lexington Park at Amberly"/>
    <x v="188"/>
    <x v="1"/>
  </r>
  <r>
    <d v="2016-08-01T13:28:00"/>
    <d v="2016-08-01T13:46:00"/>
    <s v="Business"/>
    <s v="Lexington Park at Amberly"/>
    <s v="Westpark Place"/>
    <x v="16"/>
    <x v="1"/>
  </r>
  <r>
    <d v="2016-08-01T13:52:00"/>
    <d v="2016-08-01T14:14:00"/>
    <s v="Business"/>
    <s v="Cary"/>
    <s v="Apex"/>
    <x v="136"/>
    <x v="1"/>
  </r>
  <r>
    <d v="2016-08-01T15:40:00"/>
    <d v="2016-08-01T15:47:00"/>
    <s v="Business"/>
    <s v="Apex"/>
    <s v="Cary"/>
    <x v="43"/>
    <x v="1"/>
  </r>
  <r>
    <d v="2016-08-01T16:18:00"/>
    <d v="2016-08-01T16:25:00"/>
    <s v="Business"/>
    <s v="Whitebridge"/>
    <s v="Edgehill Farms"/>
    <x v="109"/>
    <x v="1"/>
  </r>
  <r>
    <d v="2016-08-01T16:29:00"/>
    <d v="2016-08-01T16:59:00"/>
    <s v="Business"/>
    <s v="Cary"/>
    <s v="Morrisville"/>
    <x v="198"/>
    <x v="1"/>
  </r>
  <r>
    <d v="2016-08-01T17:23:00"/>
    <d v="2016-08-01T17:55:00"/>
    <s v="Business"/>
    <s v="Morrisville"/>
    <s v="Cary"/>
    <x v="72"/>
    <x v="1"/>
  </r>
  <r>
    <d v="2016-08-02T08:11:00"/>
    <d v="2016-08-02T08:32:00"/>
    <s v="Business"/>
    <s v="Cary"/>
    <s v="Morrisville"/>
    <x v="69"/>
    <x v="3"/>
  </r>
  <r>
    <d v="2016-08-02T11:51:00"/>
    <d v="2016-08-02T12:15:00"/>
    <s v="Business"/>
    <s v="Arlington"/>
    <s v="Washington"/>
    <x v="106"/>
    <x v="1"/>
  </r>
  <r>
    <d v="2016-08-02T19:15:00"/>
    <d v="2016-08-02T19:23:00"/>
    <s v="Business"/>
    <s v="Kalorama Triangle"/>
    <s v="K Street"/>
    <x v="32"/>
    <x v="1"/>
  </r>
  <r>
    <d v="2016-08-02T21:23:00"/>
    <d v="2016-08-02T21:29:00"/>
    <s v="Business"/>
    <s v="K Street"/>
    <s v="Kalorama Triangle"/>
    <x v="32"/>
    <x v="1"/>
  </r>
  <r>
    <d v="2016-08-03T12:46:00"/>
    <d v="2016-08-03T13:00:00"/>
    <s v="Business"/>
    <s v="West End"/>
    <s v="Northwest Rectangle"/>
    <x v="20"/>
    <x v="1"/>
  </r>
  <r>
    <d v="2016-08-03T14:59:00"/>
    <d v="2016-08-03T15:03:00"/>
    <s v="Business"/>
    <s v="K Street"/>
    <s v="Kalorama Triangle"/>
    <x v="53"/>
    <x v="1"/>
  </r>
  <r>
    <d v="2016-08-03T16:00:00"/>
    <d v="2016-08-03T16:04:00"/>
    <s v="Business"/>
    <s v="Kalorama Triangle"/>
    <s v="Downtown"/>
    <x v="62"/>
    <x v="1"/>
  </r>
  <r>
    <d v="2016-08-05T17:23:00"/>
    <d v="2016-08-05T17:30:00"/>
    <s v="Business"/>
    <s v="Connecticut Avenue"/>
    <s v="Kalorama Triangle"/>
    <x v="188"/>
    <x v="1"/>
  </r>
  <r>
    <d v="2016-08-05T18:17:00"/>
    <d v="2016-08-05T18:21:00"/>
    <s v="Business"/>
    <s v="Kalorama Triangle"/>
    <s v="Columbia Heights"/>
    <x v="18"/>
    <x v="1"/>
  </r>
  <r>
    <d v="2016-08-05T19:17:00"/>
    <d v="2016-08-05T19:27:00"/>
    <s v="Business"/>
    <s v="Columbia Heights"/>
    <s v="Kalorama Triangle"/>
    <x v="62"/>
    <x v="1"/>
  </r>
  <r>
    <d v="2016-08-06T06:40:00"/>
    <d v="2016-08-06T06:58:00"/>
    <s v="Business"/>
    <s v="Washington"/>
    <s v="Arlington"/>
    <x v="104"/>
    <x v="1"/>
  </r>
  <r>
    <d v="2016-08-06T09:31:00"/>
    <d v="2016-08-06T09:53:00"/>
    <s v="Business"/>
    <s v="Morrisville"/>
    <s v="Cary"/>
    <x v="26"/>
    <x v="1"/>
  </r>
  <r>
    <d v="2016-08-07T17:14:00"/>
    <d v="2016-08-07T17:23:00"/>
    <s v="Business"/>
    <s v="Whitebridge"/>
    <s v="Edgehill Farms"/>
    <x v="38"/>
    <x v="1"/>
  </r>
  <r>
    <d v="2016-08-07T17:28:00"/>
    <d v="2016-08-07T17:43:00"/>
    <s v="Business"/>
    <s v="Edgehill Farms"/>
    <s v="Whitebridge"/>
    <x v="38"/>
    <x v="4"/>
  </r>
  <r>
    <d v="2016-08-07T18:17:00"/>
    <d v="2016-08-07T18:23:00"/>
    <s v="Business"/>
    <s v="Cary"/>
    <s v="Morrisville"/>
    <x v="88"/>
    <x v="1"/>
  </r>
  <r>
    <d v="2016-08-07T20:15:00"/>
    <d v="2016-08-07T20:23:00"/>
    <s v="Business"/>
    <s v="Morrisville"/>
    <s v="Cary"/>
    <x v="88"/>
    <x v="0"/>
  </r>
  <r>
    <d v="2016-08-08T16:17:00"/>
    <d v="2016-08-08T16:31:00"/>
    <s v="Business"/>
    <s v="Whitebridge"/>
    <s v="Farmington Woods"/>
    <x v="44"/>
    <x v="1"/>
  </r>
  <r>
    <d v="2016-08-08T16:37:00"/>
    <d v="2016-08-08T16:50:00"/>
    <s v="Business"/>
    <s v="Farmington Woods"/>
    <s v="Edgehill Farms"/>
    <x v="17"/>
    <x v="1"/>
  </r>
  <r>
    <d v="2016-08-08T17:02:00"/>
    <d v="2016-08-08T17:13:00"/>
    <s v="Business"/>
    <s v="Edgehill Farms"/>
    <s v="Whitebridge"/>
    <x v="38"/>
    <x v="4"/>
  </r>
  <r>
    <d v="2016-08-08T21:50:00"/>
    <d v="2016-08-08T22:15:00"/>
    <s v="Business"/>
    <s v="Cary"/>
    <s v="Morrisville"/>
    <x v="2"/>
    <x v="1"/>
  </r>
  <r>
    <d v="2016-08-08T23:28:00"/>
    <d v="2016-08-08T23:37:00"/>
    <s v="Business"/>
    <s v="Morrisville"/>
    <s v="Cary"/>
    <x v="57"/>
    <x v="4"/>
  </r>
  <r>
    <d v="2016-08-09T14:20:00"/>
    <d v="2016-08-09T14:38:00"/>
    <s v="Business"/>
    <s v="Whitebridge"/>
    <s v="Waverly Place"/>
    <x v="136"/>
    <x v="1"/>
  </r>
  <r>
    <d v="2016-08-09T15:15:00"/>
    <d v="2016-08-09T15:36:00"/>
    <s v="Business"/>
    <s v="Cary"/>
    <s v="Raleigh"/>
    <x v="169"/>
    <x v="1"/>
  </r>
  <r>
    <d v="2016-08-09T16:04:00"/>
    <d v="2016-08-09T16:37:00"/>
    <s v="Business"/>
    <s v="Raleigh"/>
    <s v="Cary"/>
    <x v="201"/>
    <x v="1"/>
  </r>
  <r>
    <d v="2016-08-10T16:56:00"/>
    <d v="2016-08-10T17:24:00"/>
    <s v="Business"/>
    <s v="Cary"/>
    <s v="Durham"/>
    <x v="39"/>
    <x v="1"/>
  </r>
  <r>
    <d v="2016-08-10T17:53:00"/>
    <d v="2016-08-10T18:28:00"/>
    <s v="Business"/>
    <s v="Durham"/>
    <s v="Apex"/>
    <x v="155"/>
    <x v="1"/>
  </r>
  <r>
    <d v="2016-08-10T18:49:00"/>
    <d v="2016-08-10T18:50:00"/>
    <s v="Business"/>
    <s v="Apex"/>
    <s v="Apex"/>
    <x v="32"/>
    <x v="1"/>
  </r>
  <r>
    <d v="2016-08-10T19:47:00"/>
    <d v="2016-08-10T20:02:00"/>
    <s v="Business"/>
    <s v="Apex"/>
    <s v="Cary"/>
    <x v="51"/>
    <x v="1"/>
  </r>
  <r>
    <d v="2016-08-11T12:53:00"/>
    <d v="2016-08-11T13:00:00"/>
    <s v="Business"/>
    <s v="Whitebridge"/>
    <s v="Heritage Pines"/>
    <x v="95"/>
    <x v="1"/>
  </r>
  <r>
    <d v="2016-08-11T13:14:00"/>
    <d v="2016-08-11T13:28:00"/>
    <s v="Business"/>
    <s v="Heritage Pines"/>
    <s v="Edgehill Farms"/>
    <x v="183"/>
    <x v="1"/>
  </r>
  <r>
    <d v="2016-08-11T13:32:00"/>
    <d v="2016-08-11T13:42:00"/>
    <s v="Business"/>
    <s v="Edgehill Farms"/>
    <s v="Whitebridge"/>
    <x v="109"/>
    <x v="1"/>
  </r>
  <r>
    <d v="2016-08-11T18:37:00"/>
    <d v="2016-08-11T19:29:00"/>
    <s v="Business"/>
    <s v="Cary"/>
    <s v="Wake Forest"/>
    <x v="202"/>
    <x v="1"/>
  </r>
  <r>
    <d v="2016-08-11T20:59:00"/>
    <d v="2016-08-11T21:44:00"/>
    <s v="Business"/>
    <s v="Wake Forest"/>
    <s v="Cary"/>
    <x v="203"/>
    <x v="1"/>
  </r>
  <r>
    <d v="2016-08-12T18:49:00"/>
    <d v="2016-08-12T18:52:00"/>
    <s v="Business"/>
    <s v="Whitebridge"/>
    <s v="Westpark Place"/>
    <x v="16"/>
    <x v="1"/>
  </r>
  <r>
    <d v="2016-08-12T18:56:00"/>
    <d v="2016-08-12T19:05:00"/>
    <s v="Business"/>
    <s v="Westpark Place"/>
    <s v="Whitebridge"/>
    <x v="18"/>
    <x v="1"/>
  </r>
  <r>
    <d v="2016-08-13T15:35:00"/>
    <d v="2016-08-13T15:58:00"/>
    <s v="Business"/>
    <s v="Cary"/>
    <s v="Morrisville"/>
    <x v="69"/>
    <x v="3"/>
  </r>
  <r>
    <d v="2016-08-15T09:05:00"/>
    <d v="2016-08-15T09:52:00"/>
    <s v="Business"/>
    <s v="R?walpindi"/>
    <s v="Unknown Location"/>
    <x v="204"/>
    <x v="1"/>
  </r>
  <r>
    <d v="2016-08-15T15:20:00"/>
    <d v="2016-08-15T15:47:00"/>
    <s v="Business"/>
    <s v="Unknown Location"/>
    <s v="Unknown Location"/>
    <x v="76"/>
    <x v="1"/>
  </r>
  <r>
    <d v="2016-08-15T16:52:00"/>
    <d v="2016-08-15T17:30:00"/>
    <s v="Business"/>
    <s v="Unknown Location"/>
    <s v="Unknown Location"/>
    <x v="42"/>
    <x v="1"/>
  </r>
  <r>
    <d v="2016-08-15T19:08:00"/>
    <d v="2016-08-15T20:30:00"/>
    <s v="Business"/>
    <s v="Unknown Location"/>
    <s v="Unknown Location"/>
    <x v="205"/>
    <x v="5"/>
  </r>
  <r>
    <d v="2016-08-16T07:58:00"/>
    <d v="2016-08-16T08:11:00"/>
    <s v="Business"/>
    <s v="Unknown Location"/>
    <s v="Unknown Location"/>
    <x v="150"/>
    <x v="1"/>
  </r>
  <r>
    <d v="2016-08-16T08:16:00"/>
    <d v="2016-08-16T08:23:00"/>
    <s v="Business"/>
    <s v="Unknown Location"/>
    <s v="Unknown Location"/>
    <x v="38"/>
    <x v="1"/>
  </r>
  <r>
    <d v="2016-08-16T08:46:00"/>
    <d v="2016-08-16T08:53:00"/>
    <s v="Business"/>
    <s v="Unknown Location"/>
    <s v="Unknown Location"/>
    <x v="47"/>
    <x v="1"/>
  </r>
  <r>
    <d v="2016-08-16T10:06:00"/>
    <d v="2016-08-16T10:27:00"/>
    <s v="Business"/>
    <s v="Unknown Location"/>
    <s v="Islamabad"/>
    <x v="48"/>
    <x v="1"/>
  </r>
  <r>
    <d v="2016-08-16T10:31:00"/>
    <d v="2016-08-16T10:38:00"/>
    <s v="Business"/>
    <s v="Islamabad"/>
    <s v="Islamabad"/>
    <x v="115"/>
    <x v="1"/>
  </r>
  <r>
    <d v="2016-08-16T11:47:00"/>
    <d v="2016-08-16T12:03:00"/>
    <s v="Business"/>
    <s v="Islamabad"/>
    <s v="Unknown Location"/>
    <x v="48"/>
    <x v="5"/>
  </r>
  <r>
    <d v="2016-08-16T15:13:00"/>
    <d v="2016-08-16T15:36:00"/>
    <s v="Business"/>
    <s v="Unknown Location"/>
    <s v="Unknown Location"/>
    <x v="206"/>
    <x v="1"/>
  </r>
  <r>
    <d v="2016-08-17T10:17:00"/>
    <d v="2016-08-17T10:41:00"/>
    <s v="Business"/>
    <s v="Unknown Location"/>
    <s v="Unknown Location"/>
    <x v="66"/>
    <x v="1"/>
  </r>
  <r>
    <d v="2016-08-17T10:57:00"/>
    <d v="2016-08-17T11:20:00"/>
    <s v="Business"/>
    <s v="Unknown Location"/>
    <s v="Unknown Location"/>
    <x v="207"/>
    <x v="1"/>
  </r>
  <r>
    <d v="2016-08-17T14:45:00"/>
    <d v="2016-08-17T14:50:00"/>
    <s v="Business"/>
    <s v="Unknown Location"/>
    <s v="R?walpindi"/>
    <x v="34"/>
    <x v="1"/>
  </r>
  <r>
    <d v="2016-08-17T15:32:00"/>
    <d v="2016-08-17T15:47:00"/>
    <s v="Business"/>
    <s v="R?walpindi"/>
    <s v="Islamabad"/>
    <x v="13"/>
    <x v="1"/>
  </r>
  <r>
    <d v="2016-08-17T16:29:00"/>
    <d v="2016-08-17T16:50:00"/>
    <s v="Business"/>
    <s v="Islamabad"/>
    <s v="Unknown Location"/>
    <x v="84"/>
    <x v="1"/>
  </r>
  <r>
    <d v="2016-08-17T16:54:00"/>
    <d v="2016-08-17T17:00:00"/>
    <s v="Business"/>
    <s v="Unknown Location"/>
    <s v="Unknown Location"/>
    <x v="60"/>
    <x v="1"/>
  </r>
  <r>
    <d v="2016-08-17T17:05:00"/>
    <d v="2016-08-17T17:34:00"/>
    <s v="Business"/>
    <s v="Unknown Location"/>
    <s v="Unknown Location"/>
    <x v="47"/>
    <x v="1"/>
  </r>
  <r>
    <d v="2016-08-17T18:38:00"/>
    <d v="2016-08-17T18:57:00"/>
    <s v="Business"/>
    <s v="Unknown Location"/>
    <s v="Unknown Location"/>
    <x v="55"/>
    <x v="5"/>
  </r>
  <r>
    <d v="2016-08-18T18:40:00"/>
    <d v="2016-08-18T19:07:00"/>
    <s v="Business"/>
    <s v="Unknown Location"/>
    <s v="Unknown Location"/>
    <x v="29"/>
    <x v="5"/>
  </r>
  <r>
    <d v="2016-08-19T08:24:00"/>
    <d v="2016-08-19T08:45:00"/>
    <s v="Business"/>
    <s v="Unknown Location"/>
    <s v="Noorpur Shahan"/>
    <x v="29"/>
    <x v="1"/>
  </r>
  <r>
    <d v="2016-08-19T08:54:00"/>
    <d v="2016-08-19T09:07:00"/>
    <s v="Business"/>
    <s v="Noorpur Shahan"/>
    <s v="Islamabad"/>
    <x v="171"/>
    <x v="1"/>
  </r>
  <r>
    <d v="2016-08-19T09:27:00"/>
    <d v="2016-08-19T09:47:00"/>
    <s v="Business"/>
    <s v="Islamabad"/>
    <s v="R?walpindi"/>
    <x v="107"/>
    <x v="1"/>
  </r>
  <r>
    <d v="2016-08-19T10:57:00"/>
    <d v="2016-08-19T11:06:00"/>
    <s v="Business"/>
    <s v="R?walpindi"/>
    <s v="Unknown Location"/>
    <x v="20"/>
    <x v="1"/>
  </r>
  <r>
    <d v="2016-08-19T12:07:00"/>
    <d v="2016-08-19T12:24:00"/>
    <s v="Business"/>
    <s v="Unknown Location"/>
    <s v="Islamabad"/>
    <x v="48"/>
    <x v="1"/>
  </r>
  <r>
    <d v="2016-08-19T15:51:00"/>
    <d v="2016-08-19T16:06:00"/>
    <s v="Business"/>
    <s v="Islamabad"/>
    <s v="Islamabad"/>
    <x v="57"/>
    <x v="1"/>
  </r>
  <r>
    <d v="2016-08-19T17:12:00"/>
    <d v="2016-08-19T17:52:00"/>
    <s v="Business"/>
    <s v="Islamabad"/>
    <s v="Unknown Location"/>
    <x v="117"/>
    <x v="1"/>
  </r>
  <r>
    <d v="2016-08-21T10:00:00"/>
    <d v="2016-08-21T10:29:00"/>
    <s v="Business"/>
    <s v="Unknown Location"/>
    <s v="Unknown Location"/>
    <x v="29"/>
    <x v="10"/>
  </r>
  <r>
    <d v="2016-08-21T14:05:00"/>
    <d v="2016-08-21T14:34:00"/>
    <s v="Business"/>
    <s v="Unknown Location"/>
    <s v="Unknown Location"/>
    <x v="55"/>
    <x v="1"/>
  </r>
  <r>
    <d v="2016-08-21T16:30:00"/>
    <d v="2016-08-21T17:02:00"/>
    <s v="Business"/>
    <s v="Unknown Location"/>
    <s v="Islamabad"/>
    <x v="177"/>
    <x v="1"/>
  </r>
  <r>
    <d v="2016-08-21T18:10:00"/>
    <d v="2016-08-21T18:17:00"/>
    <s v="Business"/>
    <s v="Islamabad"/>
    <s v="Islamabad"/>
    <x v="34"/>
    <x v="1"/>
  </r>
  <r>
    <d v="2016-08-21T18:48:00"/>
    <d v="2016-08-21T19:24:00"/>
    <s v="Business"/>
    <s v="Islamabad"/>
    <s v="Unknown Location"/>
    <x v="208"/>
    <x v="1"/>
  </r>
  <r>
    <d v="2016-08-22T10:00:00"/>
    <d v="2016-08-22T10:44:00"/>
    <s v="Business"/>
    <s v="Unknown Location"/>
    <s v="Islamabad"/>
    <x v="165"/>
    <x v="1"/>
  </r>
  <r>
    <d v="2016-08-22T11:07:00"/>
    <d v="2016-08-22T11:23:00"/>
    <s v="Business"/>
    <s v="Islamabad"/>
    <s v="Unknown Location"/>
    <x v="98"/>
    <x v="1"/>
  </r>
  <r>
    <d v="2016-08-22T12:36:00"/>
    <d v="2016-08-22T12:49:00"/>
    <s v="Business"/>
    <s v="Unknown Location"/>
    <s v="Islamabad"/>
    <x v="106"/>
    <x v="1"/>
  </r>
  <r>
    <d v="2016-08-22T13:02:00"/>
    <d v="2016-08-22T13:11:00"/>
    <s v="Business"/>
    <s v="Islamabad"/>
    <s v="Islamabad"/>
    <x v="62"/>
    <x v="1"/>
  </r>
  <r>
    <d v="2016-08-22T14:07:00"/>
    <d v="2016-08-22T14:31:00"/>
    <s v="Business"/>
    <s v="Islamabad"/>
    <s v="Unknown Location"/>
    <x v="105"/>
    <x v="1"/>
  </r>
  <r>
    <d v="2016-08-22T15:14:00"/>
    <d v="2016-08-22T15:49:00"/>
    <s v="Business"/>
    <s v="Unknown Location"/>
    <s v="Unknown Location"/>
    <x v="40"/>
    <x v="1"/>
  </r>
  <r>
    <d v="2016-08-22T15:59:00"/>
    <d v="2016-08-22T17:16:00"/>
    <s v="Business"/>
    <s v="Unknown Location"/>
    <s v="Unknown Location"/>
    <x v="40"/>
    <x v="1"/>
  </r>
  <r>
    <d v="2016-08-22T19:58:00"/>
    <d v="2016-08-22T20:50:00"/>
    <s v="Business"/>
    <s v="Unknown Location"/>
    <s v="R?walpindi"/>
    <x v="150"/>
    <x v="1"/>
  </r>
  <r>
    <d v="2016-08-22T20:53:00"/>
    <d v="2016-08-22T21:31:00"/>
    <s v="Business"/>
    <s v="R?walpindi"/>
    <s v="R?walpindi"/>
    <x v="197"/>
    <x v="1"/>
  </r>
  <r>
    <d v="2016-08-22T22:31:00"/>
    <d v="2016-08-22T23:00:00"/>
    <s v="Business"/>
    <s v="R?walpindi"/>
    <s v="Unknown Location"/>
    <x v="36"/>
    <x v="1"/>
  </r>
  <r>
    <d v="2016-08-23T08:10:00"/>
    <d v="2016-08-23T08:25:00"/>
    <s v="Business"/>
    <s v="Unknown Location"/>
    <s v="Noorpur Shahan"/>
    <x v="151"/>
    <x v="1"/>
  </r>
  <r>
    <d v="2016-08-23T09:35:00"/>
    <d v="2016-08-23T10:09:00"/>
    <s v="Business"/>
    <s v="Noorpur Shahan"/>
    <s v="Unknown Location"/>
    <x v="11"/>
    <x v="1"/>
  </r>
  <r>
    <d v="2016-08-23T12:59:00"/>
    <d v="2016-08-23T13:15:00"/>
    <s v="Business"/>
    <s v="Unknown Location"/>
    <s v="Noorpur Shahan"/>
    <x v="55"/>
    <x v="1"/>
  </r>
  <r>
    <d v="2016-08-23T13:19:00"/>
    <d v="2016-08-23T13:30:00"/>
    <s v="Business"/>
    <s v="Noorpur Shahan"/>
    <s v="Islamabad"/>
    <x v="183"/>
    <x v="1"/>
  </r>
  <r>
    <d v="2016-08-23T13:49:00"/>
    <d v="2016-08-23T14:04:00"/>
    <s v="Business"/>
    <s v="Islamabad"/>
    <s v="Unknown Location"/>
    <x v="1"/>
    <x v="1"/>
  </r>
  <r>
    <d v="2016-08-23T15:07:00"/>
    <d v="2016-08-23T15:12:00"/>
    <s v="Business"/>
    <s v="Unknown Location"/>
    <s v="Unknown Location"/>
    <x v="16"/>
    <x v="1"/>
  </r>
  <r>
    <d v="2016-08-23T15:15:00"/>
    <d v="2016-08-23T17:16:00"/>
    <s v="Business"/>
    <s v="Unknown Location"/>
    <s v="Unknown Location"/>
    <x v="150"/>
    <x v="1"/>
  </r>
  <r>
    <d v="2016-08-23T17:42:00"/>
    <d v="2016-08-23T18:31:00"/>
    <s v="Business"/>
    <s v="Unknown Location"/>
    <s v="Unknown Location"/>
    <x v="209"/>
    <x v="1"/>
  </r>
  <r>
    <d v="2016-08-24T12:05:00"/>
    <d v="2016-08-24T12:56:00"/>
    <s v="Business"/>
    <s v="Unknown Location"/>
    <s v="Unknown Location"/>
    <x v="210"/>
    <x v="1"/>
  </r>
  <r>
    <d v="2016-08-24T13:01:00"/>
    <d v="2016-08-24T15:25:00"/>
    <s v="Business"/>
    <s v="Unknown Location"/>
    <s v="Unknown Location"/>
    <x v="211"/>
    <x v="1"/>
  </r>
  <r>
    <d v="2016-08-25T15:17:00"/>
    <d v="2016-08-25T16:22:00"/>
    <s v="Business"/>
    <s v="Unknown Location"/>
    <s v="Unknown Location"/>
    <x v="212"/>
    <x v="1"/>
  </r>
  <r>
    <d v="2016-08-25T16:36:00"/>
    <d v="2016-08-25T16:56:00"/>
    <s v="Business"/>
    <s v="Unknown Location"/>
    <s v="Unknown Location"/>
    <x v="47"/>
    <x v="1"/>
  </r>
  <r>
    <d v="2016-08-25T17:19:00"/>
    <d v="2016-08-25T19:20:00"/>
    <s v="Business"/>
    <s v="Unknown Location"/>
    <s v="Unknown Location"/>
    <x v="213"/>
    <x v="1"/>
  </r>
  <r>
    <d v="2016-08-25T19:25:00"/>
    <d v="2016-08-25T19:57:00"/>
    <s v="Business"/>
    <s v="Unknown Location"/>
    <s v="Lahore"/>
    <x v="123"/>
    <x v="1"/>
  </r>
  <r>
    <d v="2016-08-25T22:58:00"/>
    <d v="2016-08-25T23:16:00"/>
    <s v="Business"/>
    <s v="Lahore"/>
    <s v="Unknown Location"/>
    <x v="84"/>
    <x v="1"/>
  </r>
  <r>
    <d v="2016-08-26T09:06:00"/>
    <d v="2016-08-26T09:20:00"/>
    <s v="Business"/>
    <s v="Unknown Location"/>
    <s v="Unknown Location"/>
    <x v="1"/>
    <x v="1"/>
  </r>
  <r>
    <d v="2016-08-26T11:14:00"/>
    <d v="2016-08-26T11:26:00"/>
    <s v="Business"/>
    <s v="Unknown Location"/>
    <s v="Unknown Location"/>
    <x v="103"/>
    <x v="1"/>
  </r>
  <r>
    <d v="2016-08-26T12:10:00"/>
    <d v="2016-08-26T12:20:00"/>
    <s v="Business"/>
    <s v="Unknown Location"/>
    <s v="Lahore"/>
    <x v="25"/>
    <x v="1"/>
  </r>
  <r>
    <d v="2016-08-26T14:10:00"/>
    <d v="2016-08-26T14:33:00"/>
    <s v="Business"/>
    <s v="Lahore"/>
    <s v="Lahore"/>
    <x v="184"/>
    <x v="1"/>
  </r>
  <r>
    <d v="2016-08-26T15:23:00"/>
    <d v="2016-08-26T15:35:00"/>
    <s v="Business"/>
    <s v="Lahore"/>
    <s v="Lahore"/>
    <x v="62"/>
    <x v="1"/>
  </r>
  <r>
    <d v="2016-08-26T15:59:00"/>
    <d v="2016-08-26T16:24:00"/>
    <s v="Business"/>
    <s v="Lahore"/>
    <s v="Unknown Location"/>
    <x v="150"/>
    <x v="1"/>
  </r>
  <r>
    <d v="2016-08-26T16:55:00"/>
    <d v="2016-08-26T17:12:00"/>
    <s v="Business"/>
    <s v="Unknown Location"/>
    <s v="Lahore"/>
    <x v="163"/>
    <x v="1"/>
  </r>
  <r>
    <d v="2016-08-26T18:42:00"/>
    <d v="2016-08-26T18:56:00"/>
    <s v="Business"/>
    <s v="Lahore"/>
    <s v="Lahore"/>
    <x v="37"/>
    <x v="1"/>
  </r>
  <r>
    <d v="2016-08-26T19:31:00"/>
    <d v="2016-08-26T19:54:00"/>
    <s v="Business"/>
    <s v="Lahore"/>
    <s v="Lahore"/>
    <x v="103"/>
    <x v="1"/>
  </r>
  <r>
    <d v="2016-08-26T20:06:00"/>
    <d v="2016-08-26T20:16:00"/>
    <s v="Business"/>
    <s v="Lahore"/>
    <s v="Unknown Location"/>
    <x v="111"/>
    <x v="1"/>
  </r>
  <r>
    <d v="2016-08-27T09:34:00"/>
    <d v="2016-08-27T10:11:00"/>
    <s v="Business"/>
    <s v="Unknown Location"/>
    <s v="Lahore"/>
    <x v="128"/>
    <x v="1"/>
  </r>
  <r>
    <d v="2016-08-27T11:47:00"/>
    <d v="2016-08-27T12:06:00"/>
    <s v="Business"/>
    <s v="Lahore"/>
    <s v="Lahore"/>
    <x v="187"/>
    <x v="1"/>
  </r>
  <r>
    <d v="2016-08-27T12:12:00"/>
    <d v="2016-08-27T12:17:00"/>
    <s v="Business"/>
    <s v="Lahore"/>
    <s v="Lahore"/>
    <x v="129"/>
    <x v="1"/>
  </r>
  <r>
    <d v="2016-08-27T14:01:00"/>
    <d v="2016-08-27T15:44:00"/>
    <s v="Business"/>
    <s v="Lahore"/>
    <s v="Unknown Location"/>
    <x v="214"/>
    <x v="1"/>
  </r>
  <r>
    <d v="2016-08-27T16:15:00"/>
    <d v="2016-08-27T19:13:00"/>
    <s v="Business"/>
    <s v="Unknown Location"/>
    <s v="Unknown Location"/>
    <x v="215"/>
    <x v="1"/>
  </r>
  <r>
    <d v="2016-08-28T09:57:00"/>
    <d v="2016-08-28T10:18:00"/>
    <s v="Business"/>
    <s v="Unknown Location"/>
    <s v="Noorpur Shahan"/>
    <x v="45"/>
    <x v="1"/>
  </r>
  <r>
    <d v="2016-08-28T16:39:00"/>
    <d v="2016-08-28T16:55:00"/>
    <s v="Business"/>
    <s v="Noorpur Shahan"/>
    <s v="Islamabad"/>
    <x v="12"/>
    <x v="1"/>
  </r>
  <r>
    <d v="2016-08-28T17:37:00"/>
    <d v="2016-08-28T17:55:00"/>
    <s v="Business"/>
    <s v="Islamabad"/>
    <s v="Islamabad"/>
    <x v="60"/>
    <x v="1"/>
  </r>
  <r>
    <d v="2016-08-28T21:15:00"/>
    <d v="2016-08-28T21:59:00"/>
    <s v="Business"/>
    <s v="Islamabad"/>
    <s v="Unknown Location"/>
    <x v="207"/>
    <x v="1"/>
  </r>
  <r>
    <d v="2016-08-29T12:02:00"/>
    <d v="2016-08-29T12:31:00"/>
    <s v="Business"/>
    <s v="Unknown Location"/>
    <s v="Islamabad"/>
    <x v="10"/>
    <x v="1"/>
  </r>
  <r>
    <d v="2016-08-29T13:38:00"/>
    <d v="2016-08-29T13:48:00"/>
    <s v="Business"/>
    <s v="Islamabad"/>
    <s v="Islamabad"/>
    <x v="5"/>
    <x v="1"/>
  </r>
  <r>
    <d v="2016-08-29T14:31:00"/>
    <d v="2016-08-29T14:41:00"/>
    <s v="Business"/>
    <s v="Islamabad"/>
    <s v="Islamabad"/>
    <x v="88"/>
    <x v="1"/>
  </r>
  <r>
    <d v="2016-08-29T14:49:00"/>
    <d v="2016-08-29T15:04:00"/>
    <s v="Business"/>
    <s v="Islamabad"/>
    <s v="Unknown Location"/>
    <x v="48"/>
    <x v="5"/>
  </r>
  <r>
    <d v="2016-08-29T15:49:00"/>
    <d v="2016-08-29T15:59:00"/>
    <s v="Business"/>
    <s v="Unknown Location"/>
    <s v="Islamabad"/>
    <x v="109"/>
    <x v="1"/>
  </r>
  <r>
    <d v="2016-08-29T16:06:00"/>
    <d v="2016-08-29T16:21:00"/>
    <s v="Business"/>
    <s v="Islamabad"/>
    <s v="Unknown Location"/>
    <x v="17"/>
    <x v="1"/>
  </r>
  <r>
    <d v="2016-08-29T17:24:00"/>
    <d v="2016-08-29T17:41:00"/>
    <s v="Business"/>
    <s v="Unknown Location"/>
    <s v="Islamabad"/>
    <x v="47"/>
    <x v="1"/>
  </r>
  <r>
    <d v="2016-08-29T18:27:00"/>
    <d v="2016-08-29T18:36:00"/>
    <s v="Business"/>
    <s v="Islamabad"/>
    <s v="Islamabad"/>
    <x v="66"/>
    <x v="1"/>
  </r>
  <r>
    <d v="2016-08-30T11:53:00"/>
    <d v="2016-08-30T12:05:00"/>
    <s v="Business"/>
    <s v="Unknown Location"/>
    <s v="Unknown Location"/>
    <x v="102"/>
    <x v="1"/>
  </r>
  <r>
    <d v="2016-08-30T12:46:00"/>
    <d v="2016-08-30T13:09:00"/>
    <s v="Business"/>
    <s v="Unknown Location"/>
    <s v="Islamabad"/>
    <x v="93"/>
    <x v="1"/>
  </r>
  <r>
    <d v="2016-08-30T13:25:00"/>
    <d v="2016-08-30T13:46:00"/>
    <s v="Business"/>
    <s v="Islamabad"/>
    <s v="Islamabad"/>
    <x v="183"/>
    <x v="1"/>
  </r>
  <r>
    <d v="2016-08-30T14:00:00"/>
    <d v="2016-08-30T14:20:00"/>
    <s v="Business"/>
    <s v="Islamabad"/>
    <s v="Unknown Location"/>
    <x v="60"/>
    <x v="1"/>
  </r>
  <r>
    <d v="2016-08-30T17:27:00"/>
    <d v="2016-08-30T18:09:00"/>
    <s v="Business"/>
    <s v="Unknown Location"/>
    <s v="Unknown Location"/>
    <x v="73"/>
    <x v="1"/>
  </r>
  <r>
    <d v="2016-09-01T11:51:00"/>
    <d v="2016-09-01T12:24:00"/>
    <s v="Business"/>
    <s v="Unknown Location"/>
    <s v="Islamabad"/>
    <x v="73"/>
    <x v="1"/>
  </r>
  <r>
    <d v="2016-09-01T17:21:00"/>
    <d v="2016-09-01T17:36:00"/>
    <s v="Business"/>
    <s v="Islamabad"/>
    <s v="Unknown Location"/>
    <x v="99"/>
    <x v="1"/>
  </r>
  <r>
    <d v="2016-09-01T18:49:00"/>
    <d v="2016-09-01T19:08:00"/>
    <s v="Business"/>
    <s v="Unknown Location"/>
    <s v="Unknown Location"/>
    <x v="95"/>
    <x v="1"/>
  </r>
  <r>
    <d v="2016-09-02T11:37:00"/>
    <d v="2016-09-02T12:24:00"/>
    <s v="Business"/>
    <s v="Unknown Location"/>
    <s v="Islamabad"/>
    <x v="123"/>
    <x v="1"/>
  </r>
  <r>
    <d v="2016-09-02T18:56:00"/>
    <d v="2016-09-02T19:37:00"/>
    <s v="Business"/>
    <s v="Unknown Location"/>
    <s v="Unknown Location"/>
    <x v="39"/>
    <x v="1"/>
  </r>
  <r>
    <d v="2016-09-05T10:25:00"/>
    <d v="2016-09-05T10:44:00"/>
    <s v="Business"/>
    <s v="Unknown Location"/>
    <s v="R?walpindi"/>
    <x v="216"/>
    <x v="1"/>
  </r>
  <r>
    <d v="2016-09-06T17:49:00"/>
    <d v="2016-09-06T17:49:00"/>
    <s v="Business"/>
    <s v="Unknown Location"/>
    <s v="Unknown Location"/>
    <x v="217"/>
    <x v="1"/>
  </r>
  <r>
    <d v="2016-09-10T10:28:00"/>
    <d v="2016-09-10T10:45:00"/>
    <s v="Business"/>
    <s v="Unknown Location"/>
    <s v="Unknown Location"/>
    <x v="109"/>
    <x v="1"/>
  </r>
  <r>
    <d v="2016-09-11T09:51:00"/>
    <d v="2016-09-11T09:55:00"/>
    <s v="Business"/>
    <s v="Unknown Location"/>
    <s v="Unknown Location"/>
    <x v="180"/>
    <x v="1"/>
  </r>
  <r>
    <d v="2016-09-11T21:40:00"/>
    <d v="2016-09-11T21:42:00"/>
    <s v="Business"/>
    <s v="Unknown Location"/>
    <s v="Unknown Location"/>
    <x v="165"/>
    <x v="1"/>
  </r>
  <r>
    <d v="2016-09-12T08:07:00"/>
    <d v="2016-09-12T08:12:00"/>
    <s v="Business"/>
    <s v="Unknown Location"/>
    <s v="Unknown Location"/>
    <x v="78"/>
    <x v="1"/>
  </r>
  <r>
    <d v="2016-09-12T11:15:00"/>
    <d v="2016-09-12T11:24:00"/>
    <s v="Business"/>
    <s v="Unknown Location"/>
    <s v="Unknown Location"/>
    <x v="15"/>
    <x v="1"/>
  </r>
  <r>
    <d v="2016-09-12T13:04:00"/>
    <d v="2016-09-12T13:44:00"/>
    <s v="Business"/>
    <s v="Unknown Location"/>
    <s v="Unknown Location"/>
    <x v="70"/>
    <x v="1"/>
  </r>
  <r>
    <d v="2016-09-13T16:56:00"/>
    <d v="2016-09-13T17:02:00"/>
    <s v="Business"/>
    <s v="Unknown Location"/>
    <s v="Unknown Location"/>
    <x v="145"/>
    <x v="1"/>
  </r>
  <r>
    <d v="2016-09-14T11:55:00"/>
    <d v="2016-09-14T11:59:00"/>
    <s v="Business"/>
    <s v="Unknown Location"/>
    <s v="Unknown Location"/>
    <x v="145"/>
    <x v="1"/>
  </r>
  <r>
    <d v="2016-09-15T20:33:00"/>
    <d v="2016-09-15T20:38:00"/>
    <s v="Business"/>
    <s v="Unknown Location"/>
    <s v="Unknown Location"/>
    <x v="129"/>
    <x v="1"/>
  </r>
  <r>
    <d v="2016-09-16T07:08:00"/>
    <d v="2016-09-16T07:08:00"/>
    <s v="Business"/>
    <s v="Unknown Location"/>
    <s v="Unknown Location"/>
    <x v="14"/>
    <x v="1"/>
  </r>
  <r>
    <d v="2016-09-18T18:07:00"/>
    <d v="2016-09-18T18:11:00"/>
    <s v="Business"/>
    <s v="Unknown Location"/>
    <s v="Unknown Location"/>
    <x v="112"/>
    <x v="1"/>
  </r>
  <r>
    <d v="2016-09-19T06:18:00"/>
    <d v="2016-09-19T06:49:00"/>
    <s v="Business"/>
    <s v="R?walpindi"/>
    <s v="Unknown Location"/>
    <x v="162"/>
    <x v="1"/>
  </r>
  <r>
    <d v="2016-09-19T14:40:00"/>
    <d v="2016-09-19T14:56:00"/>
    <s v="Business"/>
    <s v="Unknown Location"/>
    <s v="Islamabad"/>
    <x v="116"/>
    <x v="1"/>
  </r>
  <r>
    <d v="2016-09-19T16:23:00"/>
    <d v="2016-09-19T16:31:00"/>
    <s v="Business"/>
    <s v="Islamabad"/>
    <s v="Unknown Location"/>
    <x v="48"/>
    <x v="1"/>
  </r>
  <r>
    <d v="2016-09-19T17:36:00"/>
    <d v="2016-09-19T18:20:00"/>
    <s v="Business"/>
    <s v="Unknown Location"/>
    <s v="Unknown Location"/>
    <x v="68"/>
    <x v="1"/>
  </r>
  <r>
    <d v="2016-09-19T19:10:00"/>
    <d v="2016-09-19T19:49:00"/>
    <s v="Business"/>
    <s v="Unknown Location"/>
    <s v="Islamabad"/>
    <x v="83"/>
    <x v="1"/>
  </r>
  <r>
    <d v="2016-09-20T11:29:00"/>
    <d v="2016-09-20T11:48:00"/>
    <s v="Business"/>
    <s v="Islamabad"/>
    <s v="Unknown Location"/>
    <x v="9"/>
    <x v="1"/>
  </r>
  <r>
    <d v="2016-09-20T20:47:00"/>
    <d v="2016-09-20T22:47:00"/>
    <s v="Business"/>
    <s v="Unknown Location"/>
    <s v="R?walpindi"/>
    <x v="128"/>
    <x v="1"/>
  </r>
  <r>
    <d v="2016-09-23T13:15:00"/>
    <d v="2016-09-23T13:40:00"/>
    <s v="Business"/>
    <s v="Karachi"/>
    <s v="Karachi"/>
    <x v="163"/>
    <x v="1"/>
  </r>
  <r>
    <d v="2016-09-24T14:34:00"/>
    <d v="2016-09-24T15:15:00"/>
    <s v="Business"/>
    <s v="Karachi"/>
    <s v="Unknown Location"/>
    <x v="158"/>
    <x v="1"/>
  </r>
  <r>
    <d v="2016-09-24T20:29:00"/>
    <d v="2016-09-24T20:33:00"/>
    <s v="Business"/>
    <s v="Unknown Location"/>
    <s v="Unknown Location"/>
    <x v="19"/>
    <x v="1"/>
  </r>
  <r>
    <d v="2016-09-27T08:33:00"/>
    <d v="2016-09-27T08:35:00"/>
    <s v="Business"/>
    <s v="Unknown Location"/>
    <s v="Unknown Location"/>
    <x v="46"/>
    <x v="1"/>
  </r>
  <r>
    <d v="2016-09-27T13:21:00"/>
    <d v="2016-09-27T14:43:00"/>
    <s v="Business"/>
    <s v="Lahore"/>
    <s v="Lahore"/>
    <x v="165"/>
    <x v="1"/>
  </r>
  <r>
    <d v="2016-09-27T19:14:00"/>
    <d v="2016-09-27T20:34:00"/>
    <s v="Business"/>
    <s v="Lahore"/>
    <s v="Unknown Location"/>
    <x v="84"/>
    <x v="1"/>
  </r>
  <r>
    <d v="2016-09-27T21:01:00"/>
    <d v="2016-09-28T02:37:00"/>
    <s v="Business"/>
    <s v="Unknown Location"/>
    <s v="Unknown Location"/>
    <x v="218"/>
    <x v="1"/>
  </r>
  <r>
    <d v="2016-09-28T17:21:00"/>
    <d v="2016-09-28T19:36:00"/>
    <s v="Business"/>
    <s v="Islamabad"/>
    <s v="Unknown Location"/>
    <x v="164"/>
    <x v="1"/>
  </r>
  <r>
    <d v="2016-09-29T16:13:00"/>
    <d v="2016-09-29T18:47:00"/>
    <s v="Business"/>
    <s v="Unknown Location"/>
    <s v="Islamabad"/>
    <x v="121"/>
    <x v="1"/>
  </r>
  <r>
    <d v="2016-09-30T17:39:00"/>
    <d v="2016-09-30T20:20:00"/>
    <s v="Business"/>
    <s v="Islamabad"/>
    <s v="Islamabad"/>
    <x v="219"/>
    <x v="1"/>
  </r>
  <r>
    <d v="2016-09-30T20:59:00"/>
    <d v="2016-09-30T22:34:00"/>
    <s v="Business"/>
    <s v="Islamabad"/>
    <s v="Unknown Location"/>
    <x v="220"/>
    <x v="1"/>
  </r>
  <r>
    <d v="2016-10-03T17:09:00"/>
    <d v="2016-10-03T17:12:00"/>
    <s v="Business"/>
    <s v="Unknown Location"/>
    <s v="Islamabad"/>
    <x v="116"/>
    <x v="1"/>
  </r>
  <r>
    <d v="2016-10-03T18:17:00"/>
    <d v="2016-10-03T18:34:00"/>
    <s v="Business"/>
    <s v="Islamabad"/>
    <s v="Islamabad"/>
    <x v="109"/>
    <x v="1"/>
  </r>
  <r>
    <d v="2016-10-03T18:51:00"/>
    <d v="2016-10-03T19:01:00"/>
    <s v="Business"/>
    <s v="Islamabad"/>
    <s v="Islamabad"/>
    <x v="14"/>
    <x v="1"/>
  </r>
  <r>
    <d v="2016-10-03T22:04:00"/>
    <d v="2016-10-03T22:33:00"/>
    <s v="Business"/>
    <s v="Islamabad"/>
    <s v="Unknown Location"/>
    <x v="81"/>
    <x v="1"/>
  </r>
  <r>
    <d v="2016-10-04T09:50:00"/>
    <d v="2016-10-04T10:52:00"/>
    <s v="Business"/>
    <s v="Unknown Location"/>
    <s v="Unknown Location"/>
    <x v="221"/>
    <x v="1"/>
  </r>
  <r>
    <d v="2016-10-04T12:17:00"/>
    <d v="2016-10-04T12:18:00"/>
    <s v="Business"/>
    <s v="Unknown Location"/>
    <s v="Unknown Location"/>
    <x v="21"/>
    <x v="1"/>
  </r>
  <r>
    <d v="2016-10-06T08:49:00"/>
    <d v="2016-10-06T11:36:00"/>
    <s v="Business"/>
    <s v="Unknown Location"/>
    <s v="R?walpindi"/>
    <x v="222"/>
    <x v="1"/>
  </r>
  <r>
    <d v="2016-10-06T17:23:00"/>
    <d v="2016-10-06T17:40:00"/>
    <s v="Business"/>
    <s v="R?walpindi"/>
    <s v="Unknown Location"/>
    <x v="223"/>
    <x v="1"/>
  </r>
  <r>
    <d v="2016-10-06T18:37:00"/>
    <d v="2016-10-06T18:39:00"/>
    <s v="Business"/>
    <s v="Unknown Location"/>
    <s v="Unknown Location"/>
    <x v="90"/>
    <x v="1"/>
  </r>
  <r>
    <d v="2016-10-06T19:46:00"/>
    <d v="2016-10-06T20:26:00"/>
    <s v="Business"/>
    <s v="Unknown Location"/>
    <s v="Unknown Location"/>
    <x v="139"/>
    <x v="1"/>
  </r>
  <r>
    <d v="2016-10-07T10:56:00"/>
    <d v="2016-10-07T10:59:00"/>
    <s v="Business"/>
    <s v="Unknown Location"/>
    <s v="Lahore"/>
    <x v="224"/>
    <x v="1"/>
  </r>
  <r>
    <d v="2016-10-07T11:27:00"/>
    <d v="2016-10-07T11:50:00"/>
    <s v="Business"/>
    <s v="Lahore"/>
    <s v="Lahore"/>
    <x v="66"/>
    <x v="1"/>
  </r>
  <r>
    <d v="2016-10-07T13:52:00"/>
    <d v="2016-10-07T14:08:00"/>
    <s v="Business"/>
    <s v="Lahore"/>
    <s v="Unknown Location"/>
    <x v="46"/>
    <x v="1"/>
  </r>
  <r>
    <d v="2016-10-07T14:29:00"/>
    <d v="2016-10-07T15:11:00"/>
    <s v="Business"/>
    <s v="Unknown Location"/>
    <s v="Lahore"/>
    <x v="8"/>
    <x v="1"/>
  </r>
  <r>
    <d v="2016-10-07T15:47:00"/>
    <d v="2016-10-07T16:02:00"/>
    <s v="Business"/>
    <s v="Lahore"/>
    <s v="Lahore"/>
    <x v="19"/>
    <x v="1"/>
  </r>
  <r>
    <d v="2016-10-07T18:08:00"/>
    <d v="2016-10-07T18:27:00"/>
    <s v="Business"/>
    <s v="Lahore"/>
    <s v="Lahore"/>
    <x v="97"/>
    <x v="1"/>
  </r>
  <r>
    <d v="2016-10-07T18:33:00"/>
    <d v="2016-10-07T19:01:00"/>
    <s v="Business"/>
    <s v="Lahore"/>
    <s v="Lahore"/>
    <x v="59"/>
    <x v="1"/>
  </r>
  <r>
    <d v="2016-10-08T15:03:00"/>
    <d v="2016-10-08T15:03:00"/>
    <s v="Business"/>
    <s v="Karachi"/>
    <s v="Karachi"/>
    <x v="78"/>
    <x v="1"/>
  </r>
  <r>
    <d v="2016-10-08T18:15:00"/>
    <d v="2016-10-08T18:18:00"/>
    <s v="Business"/>
    <s v="Karachi"/>
    <s v="Unknown Location"/>
    <x v="26"/>
    <x v="1"/>
  </r>
  <r>
    <d v="2016-10-09T14:04:00"/>
    <d v="2016-10-09T14:23:00"/>
    <s v="Business"/>
    <s v="Unknown Location"/>
    <s v="Unknown Location"/>
    <x v="55"/>
    <x v="5"/>
  </r>
  <r>
    <d v="2016-10-10T17:22:00"/>
    <d v="2016-10-10T17:28:00"/>
    <s v="Business"/>
    <s v="Islamabad"/>
    <s v="Islamabad"/>
    <x v="15"/>
    <x v="1"/>
  </r>
  <r>
    <d v="2016-10-10T17:33:00"/>
    <d v="2016-10-10T18:13:00"/>
    <s v="Business"/>
    <s v="Islamabad"/>
    <s v="Unknown Location"/>
    <x v="199"/>
    <x v="1"/>
  </r>
  <r>
    <d v="2016-10-11T01:27:00"/>
    <d v="2016-10-11T02:08:00"/>
    <s v="Business"/>
    <s v="Unknown Location"/>
    <s v="R?walpindi"/>
    <x v="30"/>
    <x v="3"/>
  </r>
  <r>
    <d v="2016-10-12T19:18:00"/>
    <d v="2016-10-12T19:21:00"/>
    <s v="Business"/>
    <s v="R?walpindi"/>
    <s v="Unknown Location"/>
    <x v="90"/>
    <x v="1"/>
  </r>
  <r>
    <d v="2016-10-13T11:20:00"/>
    <d v="2016-10-13T11:58:00"/>
    <s v="Business"/>
    <s v="Unknown Location"/>
    <s v="Islamabad"/>
    <x v="165"/>
    <x v="1"/>
  </r>
  <r>
    <d v="2016-10-13T12:08:00"/>
    <d v="2016-10-13T12:14:00"/>
    <s v="Business"/>
    <s v="Islamabad"/>
    <s v="Islamabad"/>
    <x v="32"/>
    <x v="1"/>
  </r>
  <r>
    <d v="2016-10-13T13:02:00"/>
    <d v="2016-10-13T13:02:00"/>
    <s v="Business"/>
    <s v="Islamabad"/>
    <s v="Islamabad"/>
    <x v="145"/>
    <x v="1"/>
  </r>
  <r>
    <d v="2016-10-13T13:37:00"/>
    <d v="2016-10-13T13:46:00"/>
    <s v="Business"/>
    <s v="Islamabad"/>
    <s v="Islamabad"/>
    <x v="33"/>
    <x v="1"/>
  </r>
  <r>
    <d v="2016-10-13T16:08:00"/>
    <d v="2016-10-13T16:53:00"/>
    <s v="Business"/>
    <s v="Islamabad"/>
    <s v="Unknown Location"/>
    <x v="105"/>
    <x v="1"/>
  </r>
  <r>
    <d v="2016-10-14T08:50:00"/>
    <d v="2016-10-14T09:44:00"/>
    <s v="Business"/>
    <s v="Unknown Location"/>
    <s v="R?walpindi"/>
    <x v="81"/>
    <x v="1"/>
  </r>
  <r>
    <d v="2016-10-14T10:16:00"/>
    <d v="2016-10-14T10:52:00"/>
    <s v="Business"/>
    <s v="R?walpindi"/>
    <s v="Unknown Location"/>
    <x v="110"/>
    <x v="1"/>
  </r>
  <r>
    <d v="2016-10-14T15:56:00"/>
    <d v="2016-10-14T16:20:00"/>
    <s v="Business"/>
    <s v="Unknown Location"/>
    <s v="Unknown Location"/>
    <x v="103"/>
    <x v="1"/>
  </r>
  <r>
    <d v="2016-10-14T23:54:00"/>
    <d v="2016-10-15T02:06:00"/>
    <s v="Business"/>
    <s v="Unknown Location"/>
    <s v="R?walpindi"/>
    <x v="67"/>
    <x v="3"/>
  </r>
  <r>
    <d v="2016-10-15T22:28:00"/>
    <d v="2016-10-15T22:48:00"/>
    <s v="Business"/>
    <s v="Morrisville"/>
    <s v="Morrisville"/>
    <x v="12"/>
    <x v="1"/>
  </r>
  <r>
    <d v="2016-10-16T00:01:00"/>
    <d v="2016-10-16T00:14:00"/>
    <s v="Business"/>
    <s v="Morrisville"/>
    <s v="Cary"/>
    <x v="97"/>
    <x v="1"/>
  </r>
  <r>
    <d v="2016-10-16T12:52:00"/>
    <d v="2016-10-16T13:11:00"/>
    <s v="Business"/>
    <s v="Cary"/>
    <s v="Durham"/>
    <x v="116"/>
    <x v="3"/>
  </r>
  <r>
    <d v="2016-10-16T14:40:00"/>
    <d v="2016-10-16T15:01:00"/>
    <s v="Business"/>
    <s v="Durham"/>
    <s v="Morrisville"/>
    <x v="72"/>
    <x v="1"/>
  </r>
  <r>
    <d v="2016-10-16T15:10:00"/>
    <d v="2016-10-16T15:19:00"/>
    <s v="Business"/>
    <s v="Morrisville"/>
    <s v="Cary"/>
    <x v="97"/>
    <x v="1"/>
  </r>
  <r>
    <d v="2016-10-16T19:27:00"/>
    <d v="2016-10-16T19:33:00"/>
    <s v="Business"/>
    <s v="Whitebridge"/>
    <s v="Parkway"/>
    <x v="102"/>
    <x v="3"/>
  </r>
  <r>
    <d v="2016-10-16T20:30:00"/>
    <d v="2016-10-16T20:39:00"/>
    <s v="Business"/>
    <s v="Cary"/>
    <s v="Morrisville"/>
    <x v="5"/>
    <x v="1"/>
  </r>
  <r>
    <d v="2016-10-16T21:34:00"/>
    <d v="2016-10-16T21:41:00"/>
    <s v="Business"/>
    <s v="Morrisville"/>
    <s v="Cary"/>
    <x v="88"/>
    <x v="0"/>
  </r>
  <r>
    <d v="2016-10-17T15:19:00"/>
    <d v="2016-10-17T15:57:00"/>
    <s v="Business"/>
    <s v="Cary"/>
    <s v="Raleigh"/>
    <x v="225"/>
    <x v="1"/>
  </r>
  <r>
    <d v="2016-10-17T16:29:00"/>
    <d v="2016-10-17T17:11:00"/>
    <s v="Business"/>
    <s v="Raleigh"/>
    <s v="Cary"/>
    <x v="166"/>
    <x v="1"/>
  </r>
  <r>
    <d v="2016-10-17T18:02:00"/>
    <d v="2016-10-17T18:16:00"/>
    <s v="Business"/>
    <s v="Cary"/>
    <s v="Apex"/>
    <x v="58"/>
    <x v="1"/>
  </r>
  <r>
    <d v="2016-10-17T18:31:00"/>
    <d v="2016-10-17T18:45:00"/>
    <s v="Business"/>
    <s v="Apex"/>
    <s v="Apex"/>
    <x v="171"/>
    <x v="1"/>
  </r>
  <r>
    <d v="2016-10-17T19:08:00"/>
    <d v="2016-10-17T19:25:00"/>
    <s v="Business"/>
    <s v="Apex"/>
    <s v="Cary"/>
    <x v="60"/>
    <x v="1"/>
  </r>
  <r>
    <d v="2016-10-18T08:12:00"/>
    <d v="2016-10-18T08:22:00"/>
    <s v="Business"/>
    <s v="Whitebridge"/>
    <s v="Edgehill Farms"/>
    <x v="171"/>
    <x v="1"/>
  </r>
  <r>
    <d v="2016-10-18T08:53:00"/>
    <d v="2016-10-18T09:02:00"/>
    <s v="Business"/>
    <s v="Edgehill Farms"/>
    <s v="Whitebridge"/>
    <x v="171"/>
    <x v="1"/>
  </r>
  <r>
    <d v="2016-10-18T10:41:00"/>
    <d v="2016-10-18T11:09:00"/>
    <s v="Business"/>
    <s v="Cary"/>
    <s v="Morrisville"/>
    <x v="150"/>
    <x v="5"/>
  </r>
  <r>
    <d v="2016-10-18T18:12:00"/>
    <d v="2016-10-18T18:33:00"/>
    <s v="Business"/>
    <s v="Oakland"/>
    <s v="Emeryville"/>
    <x v="73"/>
    <x v="1"/>
  </r>
  <r>
    <d v="2016-10-18T19:03:00"/>
    <d v="2016-10-18T19:13:00"/>
    <s v="Business"/>
    <s v="Emeryville"/>
    <s v="Berkeley"/>
    <x v="61"/>
    <x v="1"/>
  </r>
  <r>
    <d v="2016-10-18T20:31:00"/>
    <d v="2016-10-18T20:37:00"/>
    <s v="Business"/>
    <s v="Berkeley"/>
    <s v="Emeryville"/>
    <x v="61"/>
    <x v="1"/>
  </r>
  <r>
    <d v="2016-10-19T09:33:00"/>
    <d v="2016-10-19T09:47:00"/>
    <s v="Business"/>
    <s v="Emeryville"/>
    <s v="Oakland"/>
    <x v="103"/>
    <x v="1"/>
  </r>
  <r>
    <d v="2016-10-19T09:54:00"/>
    <d v="2016-10-19T10:21:00"/>
    <s v="Business"/>
    <s v="Oakland"/>
    <s v="San Francisco"/>
    <x v="199"/>
    <x v="1"/>
  </r>
  <r>
    <d v="2016-10-19T13:45:00"/>
    <d v="2016-10-19T13:56:00"/>
    <s v="Business"/>
    <s v="SOMISSPO"/>
    <s v="French Quarter"/>
    <x v="15"/>
    <x v="1"/>
  </r>
  <r>
    <d v="2016-10-19T14:02:00"/>
    <d v="2016-10-19T14:31:00"/>
    <s v="Business"/>
    <s v="San Francisco"/>
    <s v="Berkeley"/>
    <x v="10"/>
    <x v="1"/>
  </r>
  <r>
    <d v="2016-10-19T15:44:00"/>
    <d v="2016-10-19T16:02:00"/>
    <s v="Business"/>
    <s v="West Berkeley"/>
    <s v="North Berkeley Hills"/>
    <x v="197"/>
    <x v="1"/>
  </r>
  <r>
    <d v="2016-10-19T16:06:00"/>
    <d v="2016-10-19T16:19:00"/>
    <s v="Business"/>
    <s v="North Berkeley Hills"/>
    <s v="Southside"/>
    <x v="95"/>
    <x v="1"/>
  </r>
  <r>
    <d v="2016-10-19T16:33:00"/>
    <d v="2016-10-19T17:01:00"/>
    <s v="Business"/>
    <s v="Berkeley"/>
    <s v="Emeryville"/>
    <x v="43"/>
    <x v="1"/>
  </r>
  <r>
    <d v="2016-10-20T11:26:00"/>
    <d v="2016-10-20T11:34:00"/>
    <s v="Business"/>
    <s v="Emeryville"/>
    <s v="Berkeley"/>
    <x v="97"/>
    <x v="1"/>
  </r>
  <r>
    <d v="2016-10-20T12:19:00"/>
    <d v="2016-10-20T13:17:00"/>
    <s v="Business"/>
    <s v="Berkeley"/>
    <s v="San Jose"/>
    <x v="226"/>
    <x v="1"/>
  </r>
  <r>
    <d v="2016-10-20T20:44:00"/>
    <d v="2016-10-20T21:37:00"/>
    <s v="Business"/>
    <s v="San Jose"/>
    <s v="Emeryville"/>
    <x v="227"/>
    <x v="1"/>
  </r>
  <r>
    <d v="2016-10-21T10:06:00"/>
    <d v="2016-10-21T10:21:00"/>
    <s v="Business"/>
    <s v="Emeryville"/>
    <s v="Oakland"/>
    <x v="122"/>
    <x v="1"/>
  </r>
  <r>
    <d v="2016-10-22T00:54:00"/>
    <d v="2016-10-22T01:09:00"/>
    <s v="Business"/>
    <s v="Morrisville"/>
    <s v="Cary"/>
    <x v="151"/>
    <x v="1"/>
  </r>
  <r>
    <d v="2016-10-22T13:26:00"/>
    <d v="2016-10-22T14:03:00"/>
    <s v="Business"/>
    <s v="Cary"/>
    <s v="Raleigh"/>
    <x v="216"/>
    <x v="1"/>
  </r>
  <r>
    <d v="2016-10-22T17:08:00"/>
    <d v="2016-10-22T17:55:00"/>
    <s v="Business"/>
    <s v="Raleigh"/>
    <s v="Cary"/>
    <x v="170"/>
    <x v="1"/>
  </r>
  <r>
    <d v="2016-10-23T09:24:00"/>
    <d v="2016-10-23T10:05:00"/>
    <s v="Business"/>
    <s v="Cary"/>
    <s v="Raleigh"/>
    <x v="193"/>
    <x v="1"/>
  </r>
  <r>
    <d v="2016-10-23T12:17:00"/>
    <d v="2016-10-23T12:59:00"/>
    <s v="Business"/>
    <s v="Raleigh"/>
    <s v="Cary"/>
    <x v="228"/>
    <x v="1"/>
  </r>
  <r>
    <d v="2016-10-23T19:04:00"/>
    <d v="2016-10-23T19:14:00"/>
    <s v="Business"/>
    <s v="Cary"/>
    <s v="Morrisville"/>
    <x v="97"/>
    <x v="0"/>
  </r>
  <r>
    <d v="2016-10-23T21:10:00"/>
    <d v="2016-10-23T21:25:00"/>
    <s v="Business"/>
    <s v="Morrisville"/>
    <s v="Cary"/>
    <x v="97"/>
    <x v="4"/>
  </r>
  <r>
    <d v="2016-10-24T14:57:00"/>
    <d v="2016-10-24T15:26:00"/>
    <s v="Business"/>
    <s v="Cary"/>
    <s v="Durham"/>
    <x v="142"/>
    <x v="1"/>
  </r>
  <r>
    <d v="2016-10-24T15:33:00"/>
    <d v="2016-10-24T16:13:00"/>
    <s v="Business"/>
    <s v="Durham"/>
    <s v="Morrisville"/>
    <x v="229"/>
    <x v="1"/>
  </r>
  <r>
    <d v="2016-10-24T16:34:00"/>
    <d v="2016-10-24T16:41:00"/>
    <s v="Business"/>
    <s v="Morrisville"/>
    <s v="Cary"/>
    <x v="95"/>
    <x v="1"/>
  </r>
  <r>
    <d v="2016-10-25T13:27:00"/>
    <d v="2016-10-25T14:08:00"/>
    <s v="Business"/>
    <s v="Cary"/>
    <s v="Apex"/>
    <x v="22"/>
    <x v="1"/>
  </r>
  <r>
    <d v="2016-10-25T15:04:00"/>
    <d v="2016-10-25T15:11:00"/>
    <s v="Business"/>
    <s v="Apex"/>
    <s v="Eagle Rock"/>
    <x v="95"/>
    <x v="1"/>
  </r>
  <r>
    <d v="2016-10-25T15:16:00"/>
    <d v="2016-10-25T15:33:00"/>
    <s v="Business"/>
    <s v="Eagle Rock"/>
    <s v="Cary"/>
    <x v="78"/>
    <x v="1"/>
  </r>
  <r>
    <d v="2016-10-25T20:00:00"/>
    <d v="2016-10-25T20:11:00"/>
    <s v="Business"/>
    <s v="Whitebridge"/>
    <s v="Savon Height"/>
    <x v="78"/>
    <x v="0"/>
  </r>
  <r>
    <d v="2016-10-25T20:54:00"/>
    <d v="2016-10-25T21:03:00"/>
    <s v="Business"/>
    <s v="Savon Height"/>
    <s v="Parkway"/>
    <x v="106"/>
    <x v="1"/>
  </r>
  <r>
    <d v="2016-10-25T22:24:00"/>
    <d v="2016-10-25T22:45:00"/>
    <s v="Business"/>
    <s v="Parkway"/>
    <s v="Whitebridge"/>
    <x v="151"/>
    <x v="2"/>
  </r>
  <r>
    <d v="2016-10-26T19:25:00"/>
    <d v="2016-10-26T19:31:00"/>
    <s v="Business"/>
    <s v="Whitebridge"/>
    <s v="Parkway"/>
    <x v="102"/>
    <x v="3"/>
  </r>
  <r>
    <d v="2016-10-26T20:53:00"/>
    <d v="2016-10-26T21:03:00"/>
    <s v="Business"/>
    <s v="Parkway"/>
    <s v="Whitebridge"/>
    <x v="102"/>
    <x v="1"/>
  </r>
  <r>
    <d v="2016-10-27T18:51:00"/>
    <d v="2016-10-27T19:16:00"/>
    <s v="Business"/>
    <s v="Cary"/>
    <s v="Morrisville"/>
    <x v="69"/>
    <x v="3"/>
  </r>
  <r>
    <d v="2016-10-27T19:20:00"/>
    <d v="2016-10-27T19:35:00"/>
    <s v="Business"/>
    <s v="Morrisville"/>
    <s v="Morrisville"/>
    <x v="111"/>
    <x v="1"/>
  </r>
  <r>
    <d v="2016-10-27T19:52:00"/>
    <d v="2016-10-27T20:21:00"/>
    <s v="Business"/>
    <s v="Huntington Woods"/>
    <s v="Huntington Woods"/>
    <x v="207"/>
    <x v="1"/>
  </r>
  <r>
    <d v="2016-10-27T20:47:00"/>
    <d v="2016-10-27T20:54:00"/>
    <s v="Business"/>
    <s v="Huntington Woods"/>
    <s v="Weston"/>
    <x v="25"/>
    <x v="1"/>
  </r>
  <r>
    <d v="2016-10-27T21:26:00"/>
    <d v="2016-10-27T21:48:00"/>
    <s v="Business"/>
    <s v="Morrisville"/>
    <s v="Cary"/>
    <x v="12"/>
    <x v="1"/>
  </r>
  <r>
    <d v="2016-10-28T11:34:00"/>
    <d v="2016-10-28T11:52:00"/>
    <s v="Business"/>
    <s v="Cary"/>
    <s v="Durham"/>
    <x v="27"/>
    <x v="3"/>
  </r>
  <r>
    <d v="2016-10-28T13:06:00"/>
    <d v="2016-10-28T13:36:00"/>
    <s v="Business"/>
    <s v="Durham"/>
    <s v="Cary"/>
    <x v="100"/>
    <x v="3"/>
  </r>
  <r>
    <d v="2016-10-28T15:53:00"/>
    <d v="2016-10-28T17:59:00"/>
    <s v="Business"/>
    <s v="Cary"/>
    <s v="Winston Salem"/>
    <x v="230"/>
    <x v="3"/>
  </r>
  <r>
    <d v="2016-10-28T18:13:00"/>
    <d v="2016-10-28T20:07:00"/>
    <s v="Business"/>
    <s v="Winston Salem"/>
    <s v="Asheville"/>
    <x v="231"/>
    <x v="3"/>
  </r>
  <r>
    <d v="2016-10-28T20:13:00"/>
    <d v="2016-10-28T22:00:00"/>
    <s v="Business"/>
    <s v="Asheville"/>
    <s v="Topton"/>
    <x v="232"/>
    <x v="3"/>
  </r>
  <r>
    <d v="2016-10-29T15:22:00"/>
    <d v="2016-10-29T17:05:00"/>
    <s v="Business"/>
    <s v="Topton"/>
    <s v="Hayesville"/>
    <x v="233"/>
    <x v="3"/>
  </r>
  <r>
    <d v="2016-10-29T17:13:00"/>
    <d v="2016-10-29T19:19:00"/>
    <s v="Business"/>
    <s v="Hayesville"/>
    <s v="Topton"/>
    <x v="234"/>
    <x v="1"/>
  </r>
  <r>
    <d v="2016-10-30T07:49:00"/>
    <d v="2016-10-30T08:30:00"/>
    <s v="Business"/>
    <s v="Topton"/>
    <s v="Bryson City"/>
    <x v="235"/>
    <x v="1"/>
  </r>
  <r>
    <d v="2016-10-30T09:07:00"/>
    <d v="2016-10-30T10:09:00"/>
    <s v="Business"/>
    <s v="Bryson City"/>
    <s v="Bryson City"/>
    <x v="173"/>
    <x v="1"/>
  </r>
  <r>
    <d v="2016-10-30T10:11:00"/>
    <d v="2016-10-30T10:38:00"/>
    <s v="Business"/>
    <s v="Bryson City"/>
    <s v="Bryson City"/>
    <x v="107"/>
    <x v="1"/>
  </r>
  <r>
    <d v="2016-10-30T10:51:00"/>
    <d v="2016-10-30T11:21:00"/>
    <s v="Business"/>
    <s v="Bryson City"/>
    <s v="Bryson City"/>
    <x v="98"/>
    <x v="1"/>
  </r>
  <r>
    <d v="2016-10-30T12:24:00"/>
    <d v="2016-10-30T12:35:00"/>
    <s v="Business"/>
    <s v="Bryson City"/>
    <s v="Almond"/>
    <x v="104"/>
    <x v="1"/>
  </r>
  <r>
    <d v="2016-10-30T12:58:00"/>
    <d v="2016-10-30T13:18:00"/>
    <s v="Business"/>
    <s v="Almond"/>
    <s v="Bryson City"/>
    <x v="157"/>
    <x v="1"/>
  </r>
  <r>
    <d v="2016-10-30T13:24:00"/>
    <d v="2016-10-30T14:37:00"/>
    <s v="Business"/>
    <s v="Bryson City"/>
    <s v="Asheville"/>
    <x v="236"/>
    <x v="1"/>
  </r>
  <r>
    <d v="2016-10-30T15:22:00"/>
    <d v="2016-10-30T18:23:00"/>
    <s v="Business"/>
    <s v="Asheville"/>
    <s v="Mebane"/>
    <x v="237"/>
    <x v="1"/>
  </r>
  <r>
    <d v="2016-10-30T18:26:00"/>
    <d v="2016-10-30T19:39:00"/>
    <s v="Business"/>
    <s v="Mebane"/>
    <s v="Cary"/>
    <x v="238"/>
    <x v="1"/>
  </r>
  <r>
    <d v="2016-10-31T18:11:00"/>
    <d v="2016-10-31T18:20:00"/>
    <s v="Business"/>
    <s v="Cary"/>
    <s v="Morrisville"/>
    <x v="57"/>
    <x v="1"/>
  </r>
  <r>
    <d v="2016-10-31T18:47:00"/>
    <d v="2016-10-31T19:16:00"/>
    <s v="Business"/>
    <s v="Morrisville"/>
    <s v="Raleigh"/>
    <x v="239"/>
    <x v="1"/>
  </r>
  <r>
    <d v="2016-10-31T20:18:00"/>
    <d v="2016-10-31T20:44:00"/>
    <s v="Business"/>
    <s v="Raleigh"/>
    <s v="Cary"/>
    <x v="240"/>
    <x v="1"/>
  </r>
  <r>
    <d v="2016-10-31T21:45:00"/>
    <d v="2016-10-31T22:10:00"/>
    <s v="Business"/>
    <s v="Savon Height"/>
    <s v="Whitebridge"/>
    <x v="128"/>
    <x v="2"/>
  </r>
  <r>
    <d v="2016-11-01T11:50:00"/>
    <d v="2016-11-01T12:27:00"/>
    <s v="Business"/>
    <s v="Cary"/>
    <s v="Durham"/>
    <x v="9"/>
    <x v="1"/>
  </r>
  <r>
    <d v="2016-11-01T16:29:00"/>
    <d v="2016-11-01T17:02:00"/>
    <s v="Business"/>
    <s v="Durham"/>
    <s v="Cary"/>
    <x v="114"/>
    <x v="1"/>
  </r>
  <r>
    <d v="2016-11-01T17:35:00"/>
    <d v="2016-11-01T17:42:00"/>
    <s v="Business"/>
    <s v="Whitebridge"/>
    <s v="Whitebridge"/>
    <x v="115"/>
    <x v="1"/>
  </r>
  <r>
    <d v="2016-11-01T19:14:00"/>
    <d v="2016-11-01T19:20:00"/>
    <s v="Business"/>
    <s v="Whitebridge"/>
    <s v="Whitebridge"/>
    <x v="32"/>
    <x v="1"/>
  </r>
  <r>
    <d v="2016-11-01T19:59:00"/>
    <d v="2016-11-01T20:12:00"/>
    <s v="Business"/>
    <s v="Whitebridge"/>
    <s v="Whitebridge"/>
    <x v="197"/>
    <x v="1"/>
  </r>
  <r>
    <d v="2016-11-01T20:41:00"/>
    <d v="2016-11-01T20:55:00"/>
    <s v="Business"/>
    <s v="Whitebridge"/>
    <s v="Whitebridge"/>
    <x v="86"/>
    <x v="0"/>
  </r>
  <r>
    <d v="2016-11-02T15:10:00"/>
    <d v="2016-11-02T15:18:00"/>
    <s v="Business"/>
    <s v="Whitebridge"/>
    <s v="Westpark Place"/>
    <x v="34"/>
    <x v="1"/>
  </r>
  <r>
    <d v="2016-11-02T15:45:00"/>
    <d v="2016-11-02T15:52:00"/>
    <s v="Business"/>
    <s v="Westpark Place"/>
    <s v="Whitebridge"/>
    <x v="18"/>
    <x v="1"/>
  </r>
  <r>
    <d v="2016-11-02T16:46:00"/>
    <d v="2016-11-02T17:11:00"/>
    <s v="Business"/>
    <s v="Cary"/>
    <s v="Morrisville"/>
    <x v="65"/>
    <x v="3"/>
  </r>
  <r>
    <d v="2016-11-02T17:34:00"/>
    <d v="2016-11-02T17:49:00"/>
    <s v="Business"/>
    <s v="Morrisville"/>
    <s v="Morrisville"/>
    <x v="1"/>
    <x v="1"/>
  </r>
  <r>
    <d v="2016-11-02T17:53:00"/>
    <d v="2016-11-02T18:00:00"/>
    <s v="Business"/>
    <s v="Morrisville"/>
    <s v="Cary"/>
    <x v="103"/>
    <x v="1"/>
  </r>
  <r>
    <d v="2016-11-03T11:28:00"/>
    <d v="2016-11-03T11:34:00"/>
    <s v="Business"/>
    <s v="Whitebridge"/>
    <s v="Hazelwood"/>
    <x v="88"/>
    <x v="1"/>
  </r>
  <r>
    <d v="2016-11-03T12:43:00"/>
    <d v="2016-11-03T12:49:00"/>
    <s v="Business"/>
    <s v="Hazelwood"/>
    <s v="Whitebridge"/>
    <x v="19"/>
    <x v="1"/>
  </r>
  <r>
    <d v="2016-11-03T13:42:00"/>
    <d v="2016-11-03T13:47:00"/>
    <s v="Business"/>
    <s v="Whitebridge"/>
    <s v="Westpark Place"/>
    <x v="34"/>
    <x v="1"/>
  </r>
  <r>
    <d v="2016-11-03T14:13:00"/>
    <d v="2016-11-03T14:26:00"/>
    <s v="Business"/>
    <s v="Westpark Place"/>
    <s v="Whitebridge"/>
    <x v="18"/>
    <x v="1"/>
  </r>
  <r>
    <d v="2016-11-03T18:51:00"/>
    <d v="2016-11-03T19:08:00"/>
    <s v="Business"/>
    <s v="Cary"/>
    <s v="Morrisville"/>
    <x v="97"/>
    <x v="0"/>
  </r>
  <r>
    <d v="2016-11-03T22:46:00"/>
    <d v="2016-11-03T22:58:00"/>
    <s v="Business"/>
    <s v="Morrisville"/>
    <s v="Cary"/>
    <x v="97"/>
    <x v="4"/>
  </r>
  <r>
    <d v="2016-11-04T10:02:00"/>
    <d v="2016-11-04T10:18:00"/>
    <s v="Business"/>
    <s v="Cary"/>
    <s v="Morrisville"/>
    <x v="150"/>
    <x v="5"/>
  </r>
  <r>
    <d v="2016-11-04T18:14:00"/>
    <d v="2016-11-04T18:21:00"/>
    <s v="Business"/>
    <s v="San Jose"/>
    <s v="Santa Clara"/>
    <x v="103"/>
    <x v="1"/>
  </r>
  <r>
    <d v="2016-11-04T21:04:00"/>
    <d v="2016-11-04T21:20:00"/>
    <s v="Business"/>
    <s v="Agnew"/>
    <s v="Cory"/>
    <x v="5"/>
    <x v="1"/>
  </r>
  <r>
    <d v="2016-11-04T22:12:00"/>
    <d v="2016-11-04T22:25:00"/>
    <s v="Business"/>
    <s v="Cory"/>
    <s v="Agnew"/>
    <x v="25"/>
    <x v="1"/>
  </r>
  <r>
    <d v="2016-11-05T08:34:00"/>
    <d v="2016-11-05T08:43:00"/>
    <s v="Business"/>
    <s v="Agnew"/>
    <s v="Renaissance"/>
    <x v="95"/>
    <x v="1"/>
  </r>
  <r>
    <d v="2016-11-05T17:29:00"/>
    <d v="2016-11-05T17:40:00"/>
    <s v="Business"/>
    <s v="Renaissance"/>
    <s v="Agnew"/>
    <x v="109"/>
    <x v="1"/>
  </r>
  <r>
    <d v="2016-11-05T19:20:00"/>
    <d v="2016-11-05T19:28:00"/>
    <s v="Business"/>
    <s v="Agnew"/>
    <s v="Agnew"/>
    <x v="95"/>
    <x v="1"/>
  </r>
  <r>
    <d v="2016-11-06T10:50:00"/>
    <d v="2016-11-06T11:04:00"/>
    <s v="Business"/>
    <s v="Agnew"/>
    <s v="Renaissance"/>
    <x v="19"/>
    <x v="1"/>
  </r>
  <r>
    <d v="2016-11-06T16:05:00"/>
    <d v="2016-11-06T16:22:00"/>
    <s v="Business"/>
    <s v="Renaissance"/>
    <s v="Agnew"/>
    <x v="109"/>
    <x v="3"/>
  </r>
  <r>
    <d v="2016-11-06T16:27:00"/>
    <d v="2016-11-06T17:28:00"/>
    <s v="Business"/>
    <s v="Santa Clara"/>
    <s v="Berkeley"/>
    <x v="241"/>
    <x v="4"/>
  </r>
  <r>
    <d v="2016-11-06T19:04:00"/>
    <d v="2016-11-06T19:12:00"/>
    <s v="Business"/>
    <s v="Downtown"/>
    <s v="West Berkeley"/>
    <x v="18"/>
    <x v="1"/>
  </r>
  <r>
    <d v="2016-11-06T20:06:00"/>
    <d v="2016-11-06T20:21:00"/>
    <s v="Business"/>
    <s v="West Berkeley"/>
    <s v="Central"/>
    <x v="171"/>
    <x v="1"/>
  </r>
  <r>
    <d v="2016-11-07T12:28:00"/>
    <d v="2016-11-07T12:57:00"/>
    <s v="Business"/>
    <s v="Berkeley"/>
    <s v="San Francisco"/>
    <x v="23"/>
    <x v="6"/>
  </r>
  <r>
    <d v="2016-11-07T19:17:00"/>
    <d v="2016-11-07T19:57:00"/>
    <s v="Business"/>
    <s v="San Francisco"/>
    <s v="Berkeley"/>
    <x v="122"/>
    <x v="6"/>
  </r>
  <r>
    <d v="2016-11-08T10:29:00"/>
    <d v="2016-11-08T10:57:00"/>
    <s v="Business"/>
    <s v="Berkeley"/>
    <s v="San Francisco"/>
    <x v="177"/>
    <x v="6"/>
  </r>
  <r>
    <d v="2016-11-08T12:16:00"/>
    <d v="2016-11-08T12:49:00"/>
    <s v="Business"/>
    <s v="San Francisco"/>
    <s v="Berkeley"/>
    <x v="168"/>
    <x v="3"/>
  </r>
  <r>
    <d v="2016-11-08T13:41:00"/>
    <d v="2016-11-08T14:01:00"/>
    <s v="Business"/>
    <s v="Berkeley"/>
    <s v="Emeryville"/>
    <x v="78"/>
    <x v="1"/>
  </r>
  <r>
    <d v="2016-11-08T16:21:00"/>
    <d v="2016-11-08T16:34:00"/>
    <s v="Business"/>
    <s v="Emeryville"/>
    <s v="Berkeley"/>
    <x v="61"/>
    <x v="1"/>
  </r>
  <r>
    <d v="2016-11-09T13:08:00"/>
    <d v="2016-11-09T13:41:00"/>
    <s v="Business"/>
    <s v="Berkeley"/>
    <s v="San Francisco"/>
    <x v="56"/>
    <x v="1"/>
  </r>
  <r>
    <d v="2016-11-09T15:58:00"/>
    <d v="2016-11-09T16:04:00"/>
    <s v="Business"/>
    <s v="NOMA"/>
    <s v="Downtown"/>
    <x v="129"/>
    <x v="1"/>
  </r>
  <r>
    <d v="2016-11-09T17:31:00"/>
    <d v="2016-11-09T18:03:00"/>
    <s v="Business"/>
    <s v="Downtown"/>
    <s v="Sunnyside"/>
    <x v="12"/>
    <x v="1"/>
  </r>
  <r>
    <d v="2016-11-09T18:09:00"/>
    <d v="2016-11-09T18:14:00"/>
    <s v="Business"/>
    <s v="Sunnyside"/>
    <s v="Ingleside"/>
    <x v="145"/>
    <x v="1"/>
  </r>
  <r>
    <d v="2016-11-09T18:21:00"/>
    <d v="2016-11-09T18:35:00"/>
    <s v="Business"/>
    <s v="Ingleside"/>
    <s v="Potrero Flats"/>
    <x v="47"/>
    <x v="3"/>
  </r>
  <r>
    <d v="2016-11-09T18:40:00"/>
    <d v="2016-11-09T19:17:00"/>
    <s v="Business"/>
    <s v="San Francisco"/>
    <s v="Oakland"/>
    <x v="81"/>
    <x v="4"/>
  </r>
  <r>
    <d v="2016-11-09T20:52:00"/>
    <d v="2016-11-09T21:02:00"/>
    <s v="Business"/>
    <s v="Oakland"/>
    <s v="Berkeley"/>
    <x v="66"/>
    <x v="1"/>
  </r>
  <r>
    <d v="2016-11-09T21:56:00"/>
    <d v="2016-11-09T22:02:00"/>
    <s v="Business"/>
    <s v="Central"/>
    <s v="Central"/>
    <x v="53"/>
    <x v="1"/>
  </r>
  <r>
    <d v="2016-11-10T09:46:00"/>
    <d v="2016-11-10T10:15:00"/>
    <s v="Business"/>
    <s v="Berkeley"/>
    <s v="San Francisco"/>
    <x v="121"/>
    <x v="5"/>
  </r>
  <r>
    <d v="2016-11-10T10:20:00"/>
    <d v="2016-11-10T10:31:00"/>
    <s v="Business"/>
    <s v="Tenderloin"/>
    <s v="SOMISSPO"/>
    <x v="115"/>
    <x v="1"/>
  </r>
  <r>
    <d v="2016-11-10T14:57:00"/>
    <d v="2016-11-10T15:07:00"/>
    <s v="Business"/>
    <s v="SOMISSPO"/>
    <s v="Tenderloin"/>
    <x v="53"/>
    <x v="1"/>
  </r>
  <r>
    <d v="2016-11-10T15:17:00"/>
    <d v="2016-11-10T15:22:00"/>
    <s v="Business"/>
    <s v="San Francisco"/>
    <s v="Oakland"/>
    <x v="100"/>
    <x v="5"/>
  </r>
  <r>
    <d v="2016-11-10T15:30:00"/>
    <d v="2016-11-10T15:53:00"/>
    <s v="Business"/>
    <s v="Oakland"/>
    <s v="Berkeley"/>
    <x v="51"/>
    <x v="3"/>
  </r>
  <r>
    <d v="2016-11-10T19:18:00"/>
    <d v="2016-11-10T19:21:00"/>
    <s v="Business"/>
    <s v="West Berkeley"/>
    <s v="Central"/>
    <x v="7"/>
    <x v="1"/>
  </r>
  <r>
    <d v="2016-11-11T09:35:00"/>
    <d v="2016-11-11T10:23:00"/>
    <s v="Business"/>
    <s v="Berkeley"/>
    <s v="Menlo Park"/>
    <x v="242"/>
    <x v="4"/>
  </r>
  <r>
    <d v="2016-11-11T12:58:00"/>
    <d v="2016-11-11T13:13:00"/>
    <s v="Business"/>
    <s v="Menlo Park"/>
    <s v="Palo Alto"/>
    <x v="17"/>
    <x v="1"/>
  </r>
  <r>
    <d v="2016-11-11T14:20:00"/>
    <d v="2016-11-11T14:32:00"/>
    <s v="Business"/>
    <s v="Palo Alto"/>
    <s v="Menlo Park"/>
    <x v="88"/>
    <x v="1"/>
  </r>
  <r>
    <d v="2016-11-11T14:39:00"/>
    <d v="2016-11-11T15:46:00"/>
    <s v="Business"/>
    <s v="Menlo Park"/>
    <s v="Berkeley"/>
    <x v="243"/>
    <x v="4"/>
  </r>
  <r>
    <d v="2016-11-11T18:30:00"/>
    <d v="2016-11-11T18:43:00"/>
    <s v="Business"/>
    <s v="Central"/>
    <s v="College Avenue"/>
    <x v="163"/>
    <x v="1"/>
  </r>
  <r>
    <d v="2016-11-11T21:08:00"/>
    <d v="2016-11-11T21:18:00"/>
    <s v="Business"/>
    <s v="College Avenue"/>
    <s v="Central"/>
    <x v="66"/>
    <x v="1"/>
  </r>
  <r>
    <d v="2016-11-12T10:32:00"/>
    <d v="2016-11-12T10:52:00"/>
    <s v="Business"/>
    <s v="Central"/>
    <s v="South"/>
    <x v="33"/>
    <x v="1"/>
  </r>
  <r>
    <d v="2016-11-12T10:55:00"/>
    <d v="2016-11-12T11:25:00"/>
    <s v="Business"/>
    <s v="South"/>
    <s v="Downtown"/>
    <x v="13"/>
    <x v="1"/>
  </r>
  <r>
    <d v="2016-11-12T13:07:00"/>
    <d v="2016-11-12T13:15:00"/>
    <s v="Business"/>
    <s v="Downtown"/>
    <s v="Central"/>
    <x v="34"/>
    <x v="1"/>
  </r>
  <r>
    <d v="2016-11-12T13:46:00"/>
    <d v="2016-11-12T13:50:00"/>
    <s v="Business"/>
    <s v="Central"/>
    <s v="West Berkeley"/>
    <x v="186"/>
    <x v="1"/>
  </r>
  <r>
    <d v="2016-11-12T14:22:00"/>
    <d v="2016-11-12T14:53:00"/>
    <s v="Business"/>
    <s v="West Berkeley"/>
    <s v="South"/>
    <x v="111"/>
    <x v="3"/>
  </r>
  <r>
    <d v="2016-11-12T15:14:00"/>
    <d v="2016-11-12T15:21:00"/>
    <s v="Business"/>
    <s v="South"/>
    <s v="Southwest Berkeley"/>
    <x v="7"/>
    <x v="1"/>
  </r>
  <r>
    <d v="2016-11-12T15:25:00"/>
    <d v="2016-11-12T15:36:00"/>
    <s v="Business"/>
    <s v="Berkeley"/>
    <s v="Emeryville"/>
    <x v="188"/>
    <x v="1"/>
  </r>
  <r>
    <d v="2016-11-12T15:40:00"/>
    <d v="2016-11-12T15:59:00"/>
    <s v="Business"/>
    <s v="Emeryville"/>
    <s v="Berkeley"/>
    <x v="174"/>
    <x v="2"/>
  </r>
  <r>
    <d v="2016-11-13T08:54:00"/>
    <d v="2016-11-13T09:02:00"/>
    <s v="Business"/>
    <s v="Central"/>
    <s v="Central"/>
    <x v="33"/>
    <x v="1"/>
  </r>
  <r>
    <d v="2016-11-13T09:27:00"/>
    <d v="2016-11-13T09:53:00"/>
    <s v="Business"/>
    <s v="Central"/>
    <s v="Central"/>
    <x v="66"/>
    <x v="1"/>
  </r>
  <r>
    <d v="2016-11-13T10:31:00"/>
    <d v="2016-11-13T10:37:00"/>
    <s v="Business"/>
    <s v="Central"/>
    <s v="Southside"/>
    <x v="16"/>
    <x v="1"/>
  </r>
  <r>
    <d v="2016-11-13T11:04:00"/>
    <d v="2016-11-13T11:16:00"/>
    <s v="Business"/>
    <s v="Southside"/>
    <s v="West Berkeley"/>
    <x v="102"/>
    <x v="1"/>
  </r>
  <r>
    <d v="2016-11-13T12:22:00"/>
    <d v="2016-11-13T12:51:00"/>
    <s v="Business"/>
    <s v="West Berkeley"/>
    <s v="Southside"/>
    <x v="17"/>
    <x v="3"/>
  </r>
  <r>
    <d v="2016-11-13T13:05:00"/>
    <d v="2016-11-13T13:11:00"/>
    <s v="Business"/>
    <s v="Southside"/>
    <s v="South Berkeley"/>
    <x v="129"/>
    <x v="1"/>
  </r>
  <r>
    <d v="2016-11-13T13:14:00"/>
    <d v="2016-11-13T13:18:00"/>
    <s v="Business"/>
    <s v="South Berkeley"/>
    <s v="Southside"/>
    <x v="129"/>
    <x v="1"/>
  </r>
  <r>
    <d v="2016-11-13T14:35:00"/>
    <d v="2016-11-13T14:46:00"/>
    <s v="Business"/>
    <s v="Southside"/>
    <s v="Central"/>
    <x v="19"/>
    <x v="1"/>
  </r>
  <r>
    <d v="2016-11-13T15:14:00"/>
    <d v="2016-11-13T15:24:00"/>
    <s v="Business"/>
    <s v="Central"/>
    <s v="Southside"/>
    <x v="16"/>
    <x v="1"/>
  </r>
  <r>
    <d v="2016-11-13T15:47:00"/>
    <d v="2016-11-13T15:59:00"/>
    <s v="Business"/>
    <s v="Southside"/>
    <s v="Central"/>
    <x v="16"/>
    <x v="1"/>
  </r>
  <r>
    <d v="2016-11-14T11:24:00"/>
    <d v="2016-11-14T12:13:00"/>
    <s v="Business"/>
    <s v="Berkeley"/>
    <s v="Mountain View"/>
    <x v="227"/>
    <x v="4"/>
  </r>
  <r>
    <d v="2016-11-14T13:40:00"/>
    <d v="2016-11-14T14:33:00"/>
    <s v="Business"/>
    <s v="Mountain View"/>
    <s v="Berkeley"/>
    <x v="244"/>
    <x v="4"/>
  </r>
  <r>
    <d v="2016-11-14T15:27:00"/>
    <d v="2016-11-14T15:36:00"/>
    <s v="Business"/>
    <s v="Berkeley"/>
    <s v="Emeryville"/>
    <x v="88"/>
    <x v="1"/>
  </r>
  <r>
    <d v="2016-11-14T20:19:00"/>
    <d v="2016-11-14T20:30:00"/>
    <s v="Business"/>
    <s v="Emeryville"/>
    <s v="Berkeley"/>
    <x v="174"/>
    <x v="2"/>
  </r>
  <r>
    <d v="2016-11-15T13:59:00"/>
    <d v="2016-11-15T14:06:00"/>
    <s v="Business"/>
    <s v="Berkeley"/>
    <s v="Oakland"/>
    <x v="0"/>
    <x v="1"/>
  </r>
  <r>
    <d v="2016-11-15T14:09:00"/>
    <d v="2016-11-15T14:26:00"/>
    <s v="Business"/>
    <s v="Oakland"/>
    <s v="San Francisco"/>
    <x v="52"/>
    <x v="5"/>
  </r>
  <r>
    <d v="2016-11-15T20:44:00"/>
    <d v="2016-11-15T21:00:00"/>
    <s v="Business"/>
    <s v="San Francisco"/>
    <s v="Berkeley"/>
    <x v="23"/>
    <x v="5"/>
  </r>
  <r>
    <d v="2016-11-16T20:21:00"/>
    <d v="2016-11-16T20:27:00"/>
    <s v="Business"/>
    <s v="Berkeley"/>
    <s v="El Cerrito"/>
    <x v="33"/>
    <x v="5"/>
  </r>
  <r>
    <d v="2016-11-16T22:52:00"/>
    <d v="2016-11-16T23:02:00"/>
    <s v="Business"/>
    <s v="El Cerrito"/>
    <s v="Berkeley"/>
    <x v="97"/>
    <x v="0"/>
  </r>
  <r>
    <d v="2016-11-17T10:13:00"/>
    <d v="2016-11-17T10:44:00"/>
    <s v="Business"/>
    <s v="Berkeley"/>
    <s v="Oakland"/>
    <x v="173"/>
    <x v="4"/>
  </r>
  <r>
    <d v="2016-11-18T20:09:00"/>
    <d v="2016-11-18T20:19:00"/>
    <s v="Business"/>
    <s v="Cary"/>
    <s v="Morrisville"/>
    <x v="97"/>
    <x v="0"/>
  </r>
  <r>
    <d v="2016-11-18T21:23:00"/>
    <d v="2016-11-18T21:34:00"/>
    <s v="Business"/>
    <s v="Morrisville"/>
    <s v="Cary"/>
    <x v="44"/>
    <x v="0"/>
  </r>
  <r>
    <d v="2016-11-18T21:56:00"/>
    <d v="2016-11-18T22:21:00"/>
    <s v="Business"/>
    <s v="Krendle Woods"/>
    <s v="Whitebridge"/>
    <x v="59"/>
    <x v="3"/>
  </r>
  <r>
    <d v="2016-11-19T13:51:00"/>
    <d v="2016-11-19T14:10:00"/>
    <s v="Business"/>
    <s v="Cary"/>
    <s v="Durham"/>
    <x v="239"/>
    <x v="3"/>
  </r>
  <r>
    <d v="2016-11-19T14:30:00"/>
    <d v="2016-11-19T14:51:00"/>
    <s v="Business"/>
    <s v="Durham"/>
    <s v="Cary"/>
    <x v="116"/>
    <x v="3"/>
  </r>
  <r>
    <d v="2016-11-19T16:01:00"/>
    <d v="2016-11-19T16:06:00"/>
    <s v="Business"/>
    <s v="Cary"/>
    <s v="Cary"/>
    <x v="62"/>
    <x v="1"/>
  </r>
  <r>
    <d v="2016-11-19T16:27:00"/>
    <d v="2016-11-19T16:41:00"/>
    <s v="Business"/>
    <s v="Cary"/>
    <s v="Cary"/>
    <x v="18"/>
    <x v="1"/>
  </r>
  <r>
    <d v="2016-11-19T17:41:00"/>
    <d v="2016-11-19T17:54:00"/>
    <s v="Business"/>
    <s v="Cary"/>
    <s v="Apex"/>
    <x v="245"/>
    <x v="2"/>
  </r>
  <r>
    <d v="2016-11-19T21:14:00"/>
    <d v="2016-11-19T21:35:00"/>
    <s v="Business"/>
    <s v="Apex"/>
    <s v="Cary"/>
    <x v="245"/>
    <x v="4"/>
  </r>
  <r>
    <d v="2016-11-20T10:27:00"/>
    <d v="2016-11-20T11:32:00"/>
    <s v="Business"/>
    <s v="Cary"/>
    <s v="Cary"/>
    <x v="246"/>
    <x v="6"/>
  </r>
  <r>
    <d v="2016-11-20T11:58:00"/>
    <d v="2016-11-20T12:28:00"/>
    <s v="Business"/>
    <s v="Cary"/>
    <s v="Cary"/>
    <x v="13"/>
    <x v="4"/>
  </r>
  <r>
    <d v="2016-11-20T14:58:00"/>
    <d v="2016-11-20T15:07:00"/>
    <s v="Business"/>
    <s v="Cary"/>
    <s v="Cary"/>
    <x v="38"/>
    <x v="3"/>
  </r>
  <r>
    <d v="2016-11-20T17:45:00"/>
    <d v="2016-11-20T18:37:00"/>
    <s v="Business"/>
    <s v="Cary"/>
    <s v="Cary"/>
    <x v="247"/>
    <x v="2"/>
  </r>
  <r>
    <d v="2016-11-21T13:37:00"/>
    <d v="2016-11-21T13:49:00"/>
    <s v="Business"/>
    <s v="Cary"/>
    <s v="Cary"/>
    <x v="88"/>
    <x v="0"/>
  </r>
  <r>
    <d v="2016-11-21T14:34:00"/>
    <d v="2016-11-21T14:44:00"/>
    <s v="Business"/>
    <s v="Cary"/>
    <s v="Cary"/>
    <x v="102"/>
    <x v="0"/>
  </r>
  <r>
    <d v="2016-11-21T17:50:00"/>
    <d v="2016-11-21T18:04:00"/>
    <s v="Business"/>
    <s v="Cary"/>
    <s v="Unknown Location"/>
    <x v="135"/>
    <x v="2"/>
  </r>
  <r>
    <d v="2016-11-21T18:18:00"/>
    <d v="2016-11-21T18:27:00"/>
    <s v="Business"/>
    <s v="Unknown Location"/>
    <s v="Morrisville"/>
    <x v="85"/>
    <x v="0"/>
  </r>
  <r>
    <d v="2016-11-21T18:43:00"/>
    <d v="2016-11-21T18:51:00"/>
    <s v="Business"/>
    <s v="Morrisville"/>
    <s v="Cary"/>
    <x v="37"/>
    <x v="2"/>
  </r>
  <r>
    <d v="2016-11-22T15:12:00"/>
    <d v="2016-11-22T15:27:00"/>
    <s v="Business"/>
    <s v="Cary"/>
    <s v="Cary"/>
    <x v="47"/>
    <x v="3"/>
  </r>
  <r>
    <d v="2016-11-22T15:31:00"/>
    <d v="2016-11-22T15:44:00"/>
    <s v="Business"/>
    <s v="Cary"/>
    <s v="Cary"/>
    <x v="197"/>
    <x v="3"/>
  </r>
  <r>
    <d v="2016-11-22T15:51:00"/>
    <d v="2016-11-22T16:43:00"/>
    <s v="Business"/>
    <s v="Cary"/>
    <s v="Cary"/>
    <x v="81"/>
    <x v="4"/>
  </r>
  <r>
    <d v="2016-11-22T18:18:00"/>
    <d v="2016-11-22T18:28:00"/>
    <s v="Business"/>
    <s v="Cary"/>
    <s v="Morrisville"/>
    <x v="61"/>
    <x v="0"/>
  </r>
  <r>
    <d v="2016-11-22T21:02:00"/>
    <d v="2016-11-22T21:14:00"/>
    <s v="Business"/>
    <s v="Morrisville"/>
    <s v="Cary"/>
    <x v="85"/>
    <x v="4"/>
  </r>
  <r>
    <d v="2016-11-23T15:34:00"/>
    <d v="2016-11-23T15:50:00"/>
    <s v="Business"/>
    <s v="Cary"/>
    <s v="Cary"/>
    <x v="111"/>
    <x v="0"/>
  </r>
  <r>
    <d v="2016-11-23T16:18:00"/>
    <d v="2016-11-23T16:29:00"/>
    <s v="Business"/>
    <s v="Cary"/>
    <s v="Cary"/>
    <x v="16"/>
    <x v="1"/>
  </r>
  <r>
    <d v="2016-11-23T16:49:00"/>
    <d v="2016-11-23T17:00:00"/>
    <s v="Business"/>
    <s v="Cary"/>
    <s v="Cary"/>
    <x v="171"/>
    <x v="1"/>
  </r>
  <r>
    <d v="2016-11-23T18:37:00"/>
    <d v="2016-11-23T18:47:00"/>
    <s v="Business"/>
    <s v="Cary"/>
    <s v="Cary"/>
    <x v="188"/>
    <x v="1"/>
  </r>
  <r>
    <d v="2016-11-25T11:47:00"/>
    <d v="2016-11-25T12:04:00"/>
    <s v="Business"/>
    <s v="Cary"/>
    <s v="Durham"/>
    <x v="239"/>
    <x v="3"/>
  </r>
  <r>
    <d v="2016-11-25T13:13:00"/>
    <d v="2016-11-25T13:31:00"/>
    <s v="Business"/>
    <s v="Durham"/>
    <s v="Cary"/>
    <x v="248"/>
    <x v="3"/>
  </r>
  <r>
    <d v="2016-11-26T15:54:00"/>
    <d v="2016-11-26T15:59:00"/>
    <s v="Business"/>
    <s v="Cary"/>
    <s v="Cary"/>
    <x v="34"/>
    <x v="1"/>
  </r>
  <r>
    <d v="2016-11-26T17:00:00"/>
    <d v="2016-11-26T17:12:00"/>
    <s v="Business"/>
    <s v="Cary"/>
    <s v="Apex"/>
    <x v="0"/>
    <x v="3"/>
  </r>
  <r>
    <d v="2016-11-26T17:36:00"/>
    <d v="2016-11-26T17:56:00"/>
    <s v="Business"/>
    <s v="Apex"/>
    <s v="Holly Springs"/>
    <x v="54"/>
    <x v="3"/>
  </r>
  <r>
    <d v="2016-11-26T18:29:00"/>
    <d v="2016-11-26T19:04:00"/>
    <s v="Business"/>
    <s v="Holly Springs"/>
    <s v="Cary"/>
    <x v="185"/>
    <x v="6"/>
  </r>
  <r>
    <d v="2016-11-26T19:47:00"/>
    <d v="2016-11-26T19:54:00"/>
    <s v="Business"/>
    <s v="Cary"/>
    <s v="Cary"/>
    <x v="88"/>
    <x v="2"/>
  </r>
  <r>
    <d v="2016-11-27T15:59:00"/>
    <d v="2016-11-27T16:06:00"/>
    <s v="Business"/>
    <s v="Cary"/>
    <s v="Morrisville"/>
    <x v="171"/>
    <x v="0"/>
  </r>
  <r>
    <d v="2016-11-27T18:55:00"/>
    <d v="2016-11-27T19:09:00"/>
    <s v="Business"/>
    <s v="Morrisville"/>
    <s v="Cary"/>
    <x v="163"/>
    <x v="1"/>
  </r>
  <r>
    <d v="2016-11-30T11:03:00"/>
    <d v="2016-11-30T11:34:00"/>
    <s v="Business"/>
    <s v="Cary"/>
    <s v="Raleigh"/>
    <x v="65"/>
    <x v="4"/>
  </r>
  <r>
    <d v="2016-11-30T11:53:00"/>
    <d v="2016-11-30T12:35:00"/>
    <s v="Business"/>
    <s v="Raleigh"/>
    <s v="Morrisville"/>
    <x v="135"/>
    <x v="5"/>
  </r>
  <r>
    <d v="2016-11-30T12:43:00"/>
    <d v="2016-11-30T12:53:00"/>
    <s v="Business"/>
    <s v="Morrisville"/>
    <s v="Cary"/>
    <x v="97"/>
    <x v="1"/>
  </r>
  <r>
    <d v="2016-12-01T07:44:00"/>
    <d v="2016-12-01T07:59:00"/>
    <s v="Business"/>
    <s v="Cary"/>
    <s v="Cary"/>
    <x v="47"/>
    <x v="3"/>
  </r>
  <r>
    <d v="2016-12-01T08:37:00"/>
    <d v="2016-12-01T08:53:00"/>
    <s v="Business"/>
    <s v="Cary"/>
    <s v="Cary"/>
    <x v="47"/>
    <x v="2"/>
  </r>
  <r>
    <d v="2016-12-01T18:00:00"/>
    <d v="2016-12-01T18:12:00"/>
    <s v="Business"/>
    <s v="Cary"/>
    <s v="Morrisville"/>
    <x v="163"/>
    <x v="0"/>
  </r>
  <r>
    <d v="2016-12-01T20:36:00"/>
    <d v="2016-12-01T20:46:00"/>
    <s v="Business"/>
    <s v="Morrisville"/>
    <s v="Cary"/>
    <x v="163"/>
    <x v="4"/>
  </r>
  <r>
    <d v="2016-12-02T12:12:00"/>
    <d v="2016-12-02T12:23:00"/>
    <s v="Business"/>
    <s v="Cary"/>
    <s v="Apex"/>
    <x v="0"/>
    <x v="0"/>
  </r>
  <r>
    <d v="2016-12-02T13:07:00"/>
    <d v="2016-12-02T13:22:00"/>
    <s v="Business"/>
    <s v="Apex"/>
    <s v="Cary"/>
    <x v="60"/>
    <x v="4"/>
  </r>
  <r>
    <d v="2016-12-02T20:41:00"/>
    <d v="2016-12-02T20:48:00"/>
    <s v="Business"/>
    <s v="Cary"/>
    <s v="Morrisville"/>
    <x v="171"/>
    <x v="0"/>
  </r>
  <r>
    <d v="2016-12-02T22:59:00"/>
    <d v="2016-12-02T23:07:00"/>
    <s v="Business"/>
    <s v="Morrisville"/>
    <s v="Cary"/>
    <x v="61"/>
    <x v="4"/>
  </r>
  <r>
    <d v="2016-12-03T18:35:00"/>
    <d v="2016-12-03T18:56:00"/>
    <s v="Business"/>
    <s v="Cary"/>
    <s v="Wake Co."/>
    <x v="104"/>
    <x v="2"/>
  </r>
  <r>
    <d v="2016-12-03T19:08:00"/>
    <d v="2016-12-03T19:15:00"/>
    <s v="Business"/>
    <s v="Wake Co."/>
    <s v="Morrisville"/>
    <x v="18"/>
    <x v="1"/>
  </r>
  <r>
    <d v="2016-12-03T20:31:00"/>
    <d v="2016-12-03T20:41:00"/>
    <s v="Business"/>
    <s v="Morrisville"/>
    <s v="Cary"/>
    <x v="61"/>
    <x v="4"/>
  </r>
  <r>
    <d v="2016-12-04T18:56:00"/>
    <d v="2016-12-04T19:03:00"/>
    <s v="Business"/>
    <s v="Cary"/>
    <s v="Morrisville"/>
    <x v="163"/>
    <x v="0"/>
  </r>
  <r>
    <d v="2016-12-04T20:23:00"/>
    <d v="2016-12-04T20:34:00"/>
    <s v="Business"/>
    <s v="Morrisville"/>
    <s v="Cary"/>
    <x v="37"/>
    <x v="4"/>
  </r>
  <r>
    <d v="2016-12-05T18:04:00"/>
    <d v="2016-12-05T18:17:00"/>
    <s v="Business"/>
    <s v="Cary"/>
    <s v="Cary"/>
    <x v="197"/>
    <x v="1"/>
  </r>
  <r>
    <d v="2016-12-05T19:22:00"/>
    <d v="2016-12-05T19:37:00"/>
    <s v="Business"/>
    <s v="Cary"/>
    <s v="Cary"/>
    <x v="103"/>
    <x v="0"/>
  </r>
  <r>
    <d v="2016-12-07T12:03:00"/>
    <d v="2016-12-07T12:32:00"/>
    <s v="Business"/>
    <s v="Cary"/>
    <s v="Cary"/>
    <x v="104"/>
    <x v="3"/>
  </r>
  <r>
    <d v="2016-12-07T12:35:00"/>
    <d v="2016-12-07T12:46:00"/>
    <s v="Business"/>
    <s v="Cary"/>
    <s v="Cary"/>
    <x v="17"/>
    <x v="3"/>
  </r>
  <r>
    <d v="2016-12-07T19:53:00"/>
    <d v="2016-12-07T20:13:00"/>
    <s v="Business"/>
    <s v="Cary"/>
    <s v="Cary"/>
    <x v="187"/>
    <x v="4"/>
  </r>
  <r>
    <d v="2016-12-07T21:13:00"/>
    <d v="2016-12-07T21:50:00"/>
    <s v="Business"/>
    <s v="Cary"/>
    <s v="Cary"/>
    <x v="136"/>
    <x v="0"/>
  </r>
  <r>
    <d v="2016-12-08T14:19:00"/>
    <d v="2016-12-08T14:32:00"/>
    <s v="Business"/>
    <s v="Cary"/>
    <s v="Cary"/>
    <x v="37"/>
    <x v="2"/>
  </r>
  <r>
    <d v="2016-12-08T14:53:00"/>
    <d v="2016-12-08T15:02:00"/>
    <s v="Business"/>
    <s v="Cary"/>
    <s v="Cary"/>
    <x v="37"/>
    <x v="2"/>
  </r>
  <r>
    <d v="2016-12-08T19:22:00"/>
    <d v="2016-12-08T19:27:00"/>
    <s v="Business"/>
    <s v="Cary"/>
    <s v="Cary"/>
    <x v="20"/>
    <x v="3"/>
  </r>
  <r>
    <d v="2016-12-08T21:26:00"/>
    <d v="2016-12-08T21:31:00"/>
    <s v="Business"/>
    <s v="Cary"/>
    <s v="Cary"/>
    <x v="20"/>
    <x v="2"/>
  </r>
  <r>
    <d v="2016-12-09T12:09:00"/>
    <d v="2016-12-09T12:24:00"/>
    <s v="Business"/>
    <s v="Cary"/>
    <s v="Apex"/>
    <x v="0"/>
    <x v="2"/>
  </r>
  <r>
    <d v="2016-12-09T13:15:00"/>
    <d v="2016-12-09T13:43:00"/>
    <s v="Business"/>
    <s v="Apex"/>
    <s v="Cary"/>
    <x v="93"/>
    <x v="5"/>
  </r>
  <r>
    <d v="2016-12-09T20:11:00"/>
    <d v="2016-12-09T20:34:00"/>
    <s v="Business"/>
    <s v="Cary"/>
    <s v="Cary"/>
    <x v="58"/>
    <x v="3"/>
  </r>
  <r>
    <d v="2016-12-09T22:03:00"/>
    <d v="2016-12-09T22:57:00"/>
    <s v="Business"/>
    <s v="Cary"/>
    <s v="Cary"/>
    <x v="249"/>
    <x v="4"/>
  </r>
  <r>
    <d v="2016-12-10T12:43:00"/>
    <d v="2016-12-10T13:16:00"/>
    <s v="Business"/>
    <s v="Cary"/>
    <s v="Fuquay-Varina"/>
    <x v="204"/>
    <x v="3"/>
  </r>
  <r>
    <d v="2016-12-10T14:42:00"/>
    <d v="2016-12-10T15:18:00"/>
    <s v="Business"/>
    <s v="Fuquay-Varina"/>
    <s v="Cary"/>
    <x v="204"/>
    <x v="2"/>
  </r>
  <r>
    <d v="2016-12-10T18:17:00"/>
    <d v="2016-12-10T18:27:00"/>
    <s v="Business"/>
    <s v="Cary"/>
    <s v="Morrisville"/>
    <x v="61"/>
    <x v="0"/>
  </r>
  <r>
    <d v="2016-12-10T22:09:00"/>
    <d v="2016-12-10T22:21:00"/>
    <s v="Business"/>
    <s v="Morrisville"/>
    <s v="Cary"/>
    <x v="97"/>
    <x v="4"/>
  </r>
  <r>
    <d v="2016-12-11T16:06:00"/>
    <d v="2016-12-11T16:16:00"/>
    <s v="Business"/>
    <s v="Cary"/>
    <s v="Morrisville"/>
    <x v="61"/>
    <x v="0"/>
  </r>
  <r>
    <d v="2016-12-11T19:05:00"/>
    <d v="2016-12-11T19:15:00"/>
    <s v="Business"/>
    <s v="Morrisville"/>
    <s v="Cary"/>
    <x v="2"/>
    <x v="2"/>
  </r>
  <r>
    <d v="2016-12-11T21:48:00"/>
    <d v="2016-12-11T21:56:00"/>
    <s v="Business"/>
    <s v="Cary"/>
    <s v="Cary"/>
    <x v="102"/>
    <x v="2"/>
  </r>
  <r>
    <d v="2016-12-12T13:22:00"/>
    <d v="2016-12-12T13:32:00"/>
    <s v="Business"/>
    <s v="Cary"/>
    <s v="Cary"/>
    <x v="97"/>
    <x v="2"/>
  </r>
  <r>
    <d v="2016-12-12T13:36:00"/>
    <d v="2016-12-12T13:51:00"/>
    <s v="Business"/>
    <s v="Cary"/>
    <s v="Apex"/>
    <x v="183"/>
    <x v="0"/>
  </r>
  <r>
    <d v="2016-12-12T14:26:00"/>
    <d v="2016-12-12T14:39:00"/>
    <s v="Business"/>
    <s v="Apex"/>
    <s v="Cary"/>
    <x v="3"/>
    <x v="4"/>
  </r>
  <r>
    <d v="2016-12-12T17:51:00"/>
    <d v="2016-12-12T18:01:00"/>
    <s v="Business"/>
    <s v="Cary"/>
    <s v="Morrisville"/>
    <x v="61"/>
    <x v="0"/>
  </r>
  <r>
    <d v="2016-12-12T20:48:00"/>
    <d v="2016-12-12T20:57:00"/>
    <s v="Business"/>
    <s v="Morrisville"/>
    <s v="Cary"/>
    <x v="61"/>
    <x v="4"/>
  </r>
  <r>
    <d v="2016-12-13T18:19:00"/>
    <d v="2016-12-13T18:29:00"/>
    <s v="Business"/>
    <s v="Cary"/>
    <s v="Cary"/>
    <x v="86"/>
    <x v="2"/>
  </r>
  <r>
    <d v="2016-12-13T20:20:00"/>
    <d v="2016-12-13T20:29:00"/>
    <s v="Business"/>
    <s v="Cary"/>
    <s v="Cary"/>
    <x v="197"/>
    <x v="0"/>
  </r>
  <r>
    <d v="2016-12-14T16:52:00"/>
    <d v="2016-12-14T17:10:00"/>
    <s v="Business"/>
    <s v="Cary"/>
    <s v="Cary"/>
    <x v="37"/>
    <x v="1"/>
  </r>
  <r>
    <d v="2016-12-14T17:22:00"/>
    <d v="2016-12-14T17:34:00"/>
    <s v="Business"/>
    <s v="Cary"/>
    <s v="Cary"/>
    <x v="171"/>
    <x v="1"/>
  </r>
  <r>
    <d v="2016-12-14T17:50:00"/>
    <d v="2016-12-14T18:00:00"/>
    <s v="Business"/>
    <s v="Cary"/>
    <s v="Morrisville"/>
    <x v="61"/>
    <x v="0"/>
  </r>
  <r>
    <d v="2016-12-14T20:24:00"/>
    <d v="2016-12-14T20:40:00"/>
    <s v="Business"/>
    <s v="Morrisville"/>
    <s v="Cary"/>
    <x v="97"/>
    <x v="4"/>
  </r>
  <r>
    <d v="2016-12-15T14:20:00"/>
    <d v="2016-12-15T14:54:00"/>
    <s v="Business"/>
    <s v="Cary"/>
    <s v="Morrisville"/>
    <x v="99"/>
    <x v="3"/>
  </r>
  <r>
    <d v="2016-12-17T15:38:00"/>
    <d v="2016-12-17T16:12:00"/>
    <s v="Business"/>
    <s v="Unknown Location"/>
    <s v="Unknown Location"/>
    <x v="2"/>
    <x v="10"/>
  </r>
  <r>
    <d v="2016-12-17T17:19:00"/>
    <d v="2016-12-17T17:59:00"/>
    <s v="Business"/>
    <s v="Unknown Location"/>
    <s v="Unknown Location"/>
    <x v="60"/>
    <x v="5"/>
  </r>
  <r>
    <d v="2016-12-18T13:03:00"/>
    <d v="2016-12-18T13:41:00"/>
    <s v="Business"/>
    <s v="Unknown Location"/>
    <s v="Unknown Location"/>
    <x v="106"/>
    <x v="2"/>
  </r>
  <r>
    <d v="2016-12-18T16:38:00"/>
    <d v="2016-12-18T17:25:00"/>
    <s v="Business"/>
    <s v="Unknown Location"/>
    <s v="Unknown Location"/>
    <x v="250"/>
    <x v="2"/>
  </r>
  <r>
    <d v="2016-12-18T20:35:00"/>
    <d v="2016-12-18T21:04:00"/>
    <s v="Business"/>
    <s v="Unknown Location"/>
    <s v="Unknown Location"/>
    <x v="123"/>
    <x v="1"/>
  </r>
  <r>
    <d v="2016-12-19T09:08:00"/>
    <d v="2016-12-19T09:36:00"/>
    <s v="Business"/>
    <s v="Unknown Location"/>
    <s v="Islamabad"/>
    <x v="55"/>
    <x v="2"/>
  </r>
  <r>
    <d v="2016-12-19T10:15:00"/>
    <d v="2016-12-19T10:34:00"/>
    <s v="Business"/>
    <s v="Islamabad"/>
    <s v="Rawalpindi"/>
    <x v="111"/>
    <x v="5"/>
  </r>
  <r>
    <d v="2016-12-19T13:04:00"/>
    <d v="2016-12-19T13:08:00"/>
    <s v="Business"/>
    <s v="Rawalpindi"/>
    <s v="Unknown Location"/>
    <x v="145"/>
    <x v="2"/>
  </r>
  <r>
    <d v="2016-12-19T13:24:00"/>
    <d v="2016-12-19T13:35:00"/>
    <s v="Business"/>
    <s v="Unknown Location"/>
    <s v="Unknown Location"/>
    <x v="188"/>
    <x v="1"/>
  </r>
  <r>
    <d v="2016-12-19T14:07:00"/>
    <d v="2016-12-19T14:15:00"/>
    <s v="Business"/>
    <s v="Unknown Location"/>
    <s v="Unknown Location"/>
    <x v="88"/>
    <x v="1"/>
  </r>
  <r>
    <d v="2016-12-19T14:18:00"/>
    <d v="2016-12-19T14:32:00"/>
    <s v="Business"/>
    <s v="Unknown Location"/>
    <s v="Unknown Location"/>
    <x v="60"/>
    <x v="1"/>
  </r>
  <r>
    <d v="2016-12-19T14:37:00"/>
    <d v="2016-12-19T14:50:00"/>
    <s v="Business"/>
    <s v="Unknown Location"/>
    <s v="Unknown Location"/>
    <x v="245"/>
    <x v="1"/>
  </r>
  <r>
    <d v="2016-12-19T15:09:00"/>
    <d v="2016-12-19T15:38:00"/>
    <s v="Business"/>
    <s v="Unknown Location"/>
    <s v="Rawalpindi"/>
    <x v="250"/>
    <x v="4"/>
  </r>
  <r>
    <d v="2016-12-19T16:50:00"/>
    <d v="2016-12-19T17:09:00"/>
    <s v="Business"/>
    <s v="Rawalpindi"/>
    <s v="Islamabad"/>
    <x v="28"/>
    <x v="4"/>
  </r>
  <r>
    <d v="2016-12-19T19:05:00"/>
    <d v="2016-12-19T19:17:00"/>
    <s v="Business"/>
    <s v="Islamabad"/>
    <s v="Unknown Location"/>
    <x v="95"/>
    <x v="1"/>
  </r>
  <r>
    <d v="2016-12-19T19:55:00"/>
    <d v="2016-12-19T20:30:00"/>
    <s v="Business"/>
    <s v="Unknown Location"/>
    <s v="Unknown Location"/>
    <x v="143"/>
    <x v="3"/>
  </r>
  <r>
    <d v="2016-12-20T08:49:00"/>
    <d v="2016-12-20T09:24:00"/>
    <s v="Business"/>
    <s v="Unknown Location"/>
    <s v="Rawalpindi"/>
    <x v="124"/>
    <x v="1"/>
  </r>
  <r>
    <d v="2016-12-20T10:30:00"/>
    <d v="2016-12-20T10:48:00"/>
    <s v="Business"/>
    <s v="Rawalpindi"/>
    <s v="Rawalpindi"/>
    <x v="171"/>
    <x v="2"/>
  </r>
  <r>
    <d v="2016-12-20T11:30:00"/>
    <d v="2016-12-20T12:17:00"/>
    <s v="Business"/>
    <s v="Rawalpindi"/>
    <s v="Unknown Location"/>
    <x v="49"/>
    <x v="3"/>
  </r>
  <r>
    <d v="2016-12-20T13:14:00"/>
    <d v="2016-12-20T13:20:00"/>
    <s v="Business"/>
    <s v="Unknown Location"/>
    <s v="Unknown Location"/>
    <x v="15"/>
    <x v="2"/>
  </r>
  <r>
    <d v="2016-12-20T13:54:00"/>
    <d v="2016-12-20T14:17:00"/>
    <s v="Business"/>
    <s v="Unknown Location"/>
    <s v="Islamabad"/>
    <x v="48"/>
    <x v="5"/>
  </r>
  <r>
    <d v="2016-12-20T16:14:00"/>
    <d v="2016-12-20T16:24:00"/>
    <s v="Business"/>
    <s v="Islamabad"/>
    <s v="Islamabad"/>
    <x v="18"/>
    <x v="2"/>
  </r>
  <r>
    <d v="2016-12-20T16:56:00"/>
    <d v="2016-12-20T17:07:00"/>
    <s v="Business"/>
    <s v="Islamabad"/>
    <s v="Islamabad"/>
    <x v="34"/>
    <x v="2"/>
  </r>
  <r>
    <d v="2016-12-20T18:47:00"/>
    <d v="2016-12-20T19:21:00"/>
    <s v="Business"/>
    <s v="Islamabad"/>
    <s v="Unknown Location"/>
    <x v="239"/>
    <x v="4"/>
  </r>
  <r>
    <d v="2016-12-21T07:42:00"/>
    <d v="2016-12-21T08:10:00"/>
    <s v="Business"/>
    <s v="Unknown Location"/>
    <s v="Unknown Location"/>
    <x v="70"/>
    <x v="3"/>
  </r>
  <r>
    <d v="2016-12-21T10:14:00"/>
    <d v="2016-12-21T10:30:00"/>
    <s v="Business"/>
    <s v="Unknown Location"/>
    <s v="Islamabad"/>
    <x v="106"/>
    <x v="2"/>
  </r>
  <r>
    <d v="2016-12-21T11:35:00"/>
    <d v="2016-12-21T11:49:00"/>
    <s v="Business"/>
    <s v="Islamabad"/>
    <s v="Unknown Location"/>
    <x v="85"/>
    <x v="0"/>
  </r>
  <r>
    <d v="2016-12-21T12:51:00"/>
    <d v="2016-12-21T13:33:00"/>
    <s v="Business"/>
    <s v="Unknown Location"/>
    <s v="Unknown Location"/>
    <x v="206"/>
    <x v="3"/>
  </r>
  <r>
    <d v="2016-12-21T15:38:00"/>
    <d v="2016-12-21T15:49:00"/>
    <s v="Business"/>
    <s v="Unknown Location"/>
    <s v="Unknown Location"/>
    <x v="20"/>
    <x v="2"/>
  </r>
  <r>
    <d v="2016-12-21T15:55:00"/>
    <d v="2016-12-21T16:05:00"/>
    <s v="Business"/>
    <s v="Unknown Location"/>
    <s v="Islamabad"/>
    <x v="102"/>
    <x v="2"/>
  </r>
  <r>
    <d v="2016-12-21T17:45:00"/>
    <d v="2016-12-21T17:54:00"/>
    <s v="Business"/>
    <s v="Islamabad"/>
    <s v="Islamabad"/>
    <x v="102"/>
    <x v="3"/>
  </r>
  <r>
    <d v="2016-12-21T17:59:00"/>
    <d v="2016-12-21T18:31:00"/>
    <s v="Business"/>
    <s v="Islamabad"/>
    <s v="Unknown Location"/>
    <x v="28"/>
    <x v="4"/>
  </r>
  <r>
    <d v="2016-12-21T19:49:00"/>
    <d v="2016-12-21T20:35:00"/>
    <s v="Business"/>
    <s v="Unknown Location"/>
    <s v="Rawalpindi"/>
    <x v="124"/>
    <x v="3"/>
  </r>
  <r>
    <d v="2016-12-21T20:56:00"/>
    <d v="2016-12-21T23:42:00"/>
    <s v="Business"/>
    <s v="Rawalpindi"/>
    <s v="Unknown Location"/>
    <x v="251"/>
    <x v="3"/>
  </r>
  <r>
    <d v="2016-12-22T15:40:00"/>
    <d v="2016-12-22T16:38:00"/>
    <s v="Business"/>
    <s v="Unknown Location"/>
    <s v="Unknown Location"/>
    <x v="252"/>
    <x v="3"/>
  </r>
  <r>
    <d v="2016-12-22T17:04:00"/>
    <d v="2016-12-22T17:20:00"/>
    <s v="Business"/>
    <s v="Unknown Location"/>
    <s v="Unknown Location"/>
    <x v="60"/>
    <x v="4"/>
  </r>
  <r>
    <d v="2016-12-22T17:27:00"/>
    <d v="2016-12-22T17:53:00"/>
    <s v="Business"/>
    <s v="Unknown Location"/>
    <s v="Unknown Location"/>
    <x v="175"/>
    <x v="3"/>
  </r>
  <r>
    <d v="2016-12-22T17:56:00"/>
    <d v="2016-12-22T18:29:00"/>
    <s v="Business"/>
    <s v="Unknown Location"/>
    <s v="Unknown Location"/>
    <x v="253"/>
    <x v="3"/>
  </r>
  <r>
    <d v="2016-12-22T18:31:00"/>
    <d v="2016-12-22T18:37:00"/>
    <s v="Business"/>
    <s v="Unknown Location"/>
    <s v="Unknown Location"/>
    <x v="57"/>
    <x v="2"/>
  </r>
  <r>
    <d v="2016-12-22T18:38:00"/>
    <d v="2016-12-22T18:47:00"/>
    <s v="Business"/>
    <s v="Unknown Location"/>
    <s v="Unknown Location"/>
    <x v="190"/>
    <x v="5"/>
  </r>
  <r>
    <d v="2016-12-22T19:04:00"/>
    <d v="2016-12-22T19:50:00"/>
    <s v="Business"/>
    <s v="Unknown Location"/>
    <s v="Lahore"/>
    <x v="170"/>
    <x v="3"/>
  </r>
  <r>
    <d v="2016-12-22T21:41:00"/>
    <d v="2016-12-22T21:53:00"/>
    <s v="Business"/>
    <s v="Lahore"/>
    <s v="Lahore"/>
    <x v="102"/>
    <x v="0"/>
  </r>
  <r>
    <d v="2016-12-22T23:27:00"/>
    <d v="2016-12-22T23:32:00"/>
    <s v="Business"/>
    <s v="Lahore"/>
    <s v="Lahore"/>
    <x v="102"/>
    <x v="4"/>
  </r>
  <r>
    <d v="2016-12-23T09:21:00"/>
    <d v="2016-12-23T09:41:00"/>
    <s v="Business"/>
    <s v="Lahore"/>
    <s v="Lahore"/>
    <x v="61"/>
    <x v="3"/>
  </r>
  <r>
    <d v="2016-12-23T11:33:00"/>
    <d v="2016-12-23T11:58:00"/>
    <s v="Business"/>
    <s v="Lahore"/>
    <s v="Unknown Location"/>
    <x v="12"/>
    <x v="3"/>
  </r>
  <r>
    <d v="2016-12-23T14:15:00"/>
    <d v="2016-12-23T15:25:00"/>
    <s v="Business"/>
    <s v="Unknown Location"/>
    <s v="Unknown Location"/>
    <x v="128"/>
    <x v="3"/>
  </r>
  <r>
    <d v="2016-12-23T16:23:00"/>
    <d v="2016-12-23T16:34:00"/>
    <s v="Business"/>
    <s v="Unknown Location"/>
    <s v="Unknown Location"/>
    <x v="188"/>
    <x v="2"/>
  </r>
  <r>
    <d v="2016-12-23T17:34:00"/>
    <d v="2016-12-23T18:27:00"/>
    <s v="Business"/>
    <s v="Unknown Location"/>
    <s v="Lahore"/>
    <x v="6"/>
    <x v="0"/>
  </r>
  <r>
    <d v="2016-12-24T07:43:00"/>
    <d v="2016-12-24T08:04:00"/>
    <s v="Business"/>
    <s v="Lahore"/>
    <s v="Unknown Location"/>
    <x v="98"/>
    <x v="0"/>
  </r>
  <r>
    <d v="2016-12-24T09:19:00"/>
    <d v="2016-12-24T09:55:00"/>
    <s v="Business"/>
    <s v="Unknown Location"/>
    <s v="Lahore"/>
    <x v="254"/>
    <x v="0"/>
  </r>
  <r>
    <d v="2016-12-24T10:34:00"/>
    <d v="2016-12-24T10:53:00"/>
    <s v="Business"/>
    <s v="Lahore"/>
    <s v="Lahore"/>
    <x v="60"/>
    <x v="0"/>
  </r>
  <r>
    <d v="2016-12-24T12:51:00"/>
    <d v="2016-12-24T12:53:00"/>
    <s v="Business"/>
    <s v="Lahore"/>
    <s v="Lahore"/>
    <x v="14"/>
    <x v="2"/>
  </r>
  <r>
    <d v="2016-12-24T13:08:00"/>
    <d v="2016-12-24T13:29:00"/>
    <s v="Business"/>
    <s v="Lahore"/>
    <s v="Lahore"/>
    <x v="78"/>
    <x v="2"/>
  </r>
  <r>
    <d v="2016-12-24T17:12:00"/>
    <d v="2016-12-24T17:27:00"/>
    <s v="Business"/>
    <s v="Lahore"/>
    <s v="Lahore"/>
    <x v="15"/>
    <x v="2"/>
  </r>
  <r>
    <d v="2016-12-24T19:12:00"/>
    <d v="2016-12-24T19:27:00"/>
    <s v="Business"/>
    <s v="Lahore"/>
    <s v="Lahore"/>
    <x v="163"/>
    <x v="0"/>
  </r>
  <r>
    <d v="2016-12-24T22:04:00"/>
    <d v="2016-12-24T22:09:00"/>
    <s v="Business"/>
    <s v="Lahore"/>
    <s v="Lahore"/>
    <x v="186"/>
    <x v="2"/>
  </r>
  <r>
    <d v="2016-12-25T00:10:00"/>
    <d v="2016-12-25T00:14:00"/>
    <s v="Business"/>
    <s v="Lahore"/>
    <s v="Lahore"/>
    <x v="186"/>
    <x v="2"/>
  </r>
  <r>
    <d v="2016-12-25T19:15:00"/>
    <d v="2016-12-25T19:26:00"/>
    <s v="Business"/>
    <s v="Lahore"/>
    <s v="Lahore"/>
    <x v="33"/>
    <x v="0"/>
  </r>
  <r>
    <d v="2016-12-25T21:58:00"/>
    <d v="2016-12-25T22:04:00"/>
    <s v="Business"/>
    <s v="Lahore"/>
    <s v="Lahore"/>
    <x v="33"/>
    <x v="0"/>
  </r>
  <r>
    <d v="2016-12-26T08:30:00"/>
    <d v="2016-12-26T08:41:00"/>
    <s v="Business"/>
    <s v="Lahore"/>
    <s v="Lahore"/>
    <x v="57"/>
    <x v="0"/>
  </r>
  <r>
    <d v="2016-12-26T09:05:00"/>
    <d v="2016-12-26T09:19:00"/>
    <s v="Business"/>
    <s v="Lahore"/>
    <s v="Lahore"/>
    <x v="12"/>
    <x v="4"/>
  </r>
  <r>
    <d v="2016-12-26T10:15:00"/>
    <d v="2016-12-26T10:36:00"/>
    <s v="Business"/>
    <s v="Lahore"/>
    <s v="Lahore"/>
    <x v="55"/>
    <x v="4"/>
  </r>
  <r>
    <d v="2016-12-26T11:29:00"/>
    <d v="2016-12-26T11:42:00"/>
    <s v="Business"/>
    <s v="Lahore"/>
    <s v="Lahore"/>
    <x v="103"/>
    <x v="4"/>
  </r>
  <r>
    <d v="2016-12-26T13:09:00"/>
    <d v="2016-12-26T13:43:00"/>
    <s v="Business"/>
    <s v="Lahore"/>
    <s v="Unknown Location"/>
    <x v="150"/>
    <x v="3"/>
  </r>
  <r>
    <d v="2016-12-27T07:02:00"/>
    <d v="2016-12-27T07:14:00"/>
    <s v="Business"/>
    <s v="Kar?chi"/>
    <s v="Kar?chi"/>
    <x v="106"/>
    <x v="5"/>
  </r>
  <r>
    <d v="2016-12-27T08:37:00"/>
    <d v="2016-12-27T08:59:00"/>
    <s v="Business"/>
    <s v="Kar?chi"/>
    <s v="Kar?chi"/>
    <x v="1"/>
    <x v="0"/>
  </r>
  <r>
    <d v="2016-12-27T12:53:00"/>
    <d v="2016-12-27T12:57:00"/>
    <s v="Business"/>
    <s v="Kar?chi"/>
    <s v="Kar?chi"/>
    <x v="186"/>
    <x v="0"/>
  </r>
  <r>
    <d v="2016-12-27T14:49:00"/>
    <d v="2016-12-27T15:03:00"/>
    <s v="Business"/>
    <s v="Kar?chi"/>
    <s v="Unknown Location"/>
    <x v="97"/>
    <x v="4"/>
  </r>
  <r>
    <d v="2016-12-27T16:34:00"/>
    <d v="2016-12-27T16:58:00"/>
    <s v="Business"/>
    <s v="Unknown Location"/>
    <s v="Kar?chi"/>
    <x v="150"/>
    <x v="3"/>
  </r>
  <r>
    <d v="2016-12-27T19:19:00"/>
    <d v="2016-12-27T19:50:00"/>
    <s v="Business"/>
    <s v="Kar?chi"/>
    <s v="Kar?chi"/>
    <x v="47"/>
    <x v="4"/>
  </r>
  <r>
    <d v="2016-12-28T08:34:00"/>
    <d v="2016-12-28T09:06:00"/>
    <s v="Business"/>
    <s v="Kar?chi"/>
    <s v="Unknown Location"/>
    <x v="239"/>
    <x v="0"/>
  </r>
  <r>
    <d v="2016-12-28T11:42:00"/>
    <d v="2016-12-28T12:12:00"/>
    <s v="Business"/>
    <s v="Unknown Location"/>
    <s v="Kar?chi"/>
    <x v="27"/>
    <x v="2"/>
  </r>
  <r>
    <d v="2016-12-28T13:53:00"/>
    <d v="2016-12-28T14:01:00"/>
    <s v="Business"/>
    <s v="Kar?chi"/>
    <s v="Kar?chi"/>
    <x v="20"/>
    <x v="2"/>
  </r>
  <r>
    <d v="2016-12-28T15:04:00"/>
    <d v="2016-12-28T15:39:00"/>
    <s v="Business"/>
    <s v="Kar?chi"/>
    <s v="Unknown Location"/>
    <x v="65"/>
    <x v="0"/>
  </r>
  <r>
    <d v="2016-12-28T17:02:00"/>
    <d v="2016-12-28T17:16:00"/>
    <s v="Business"/>
    <s v="Unknown Location"/>
    <s v="Kar?chi"/>
    <x v="183"/>
    <x v="2"/>
  </r>
  <r>
    <d v="2016-12-28T18:33:00"/>
    <d v="2016-12-28T18:56:00"/>
    <s v="Business"/>
    <s v="Kar?chi"/>
    <s v="Kar?chi"/>
    <x v="103"/>
    <x v="2"/>
  </r>
  <r>
    <d v="2016-12-28T22:44:00"/>
    <d v="2016-12-28T23:18:00"/>
    <s v="Business"/>
    <s v="Kar?chi"/>
    <s v="Kar?chi"/>
    <x v="0"/>
    <x v="2"/>
  </r>
  <r>
    <d v="2016-12-29T00:49:00"/>
    <d v="2016-12-29T01:06:00"/>
    <s v="Business"/>
    <s v="Kar?chi"/>
    <s v="Kar?chi"/>
    <x v="103"/>
    <x v="2"/>
  </r>
  <r>
    <d v="2016-12-29T09:44:00"/>
    <d v="2016-12-29T10:07:00"/>
    <s v="Business"/>
    <s v="Kar?chi"/>
    <s v="Unknown Location"/>
    <x v="175"/>
    <x v="0"/>
  </r>
  <r>
    <d v="2016-12-29T11:28:00"/>
    <d v="2016-12-29T12:00:00"/>
    <s v="Business"/>
    <s v="Unknown Location"/>
    <s v="Kar?chi"/>
    <x v="113"/>
    <x v="0"/>
  </r>
  <r>
    <d v="2016-12-29T12:25:00"/>
    <d v="2016-12-29T12:33:00"/>
    <s v="Business"/>
    <s v="Kar?chi"/>
    <s v="Kar?chi"/>
    <x v="34"/>
    <x v="2"/>
  </r>
  <r>
    <d v="2016-12-29T13:17:00"/>
    <d v="2016-12-29T13:24:00"/>
    <s v="Business"/>
    <s v="Kar?chi"/>
    <s v="Kar?chi"/>
    <x v="53"/>
    <x v="2"/>
  </r>
  <r>
    <d v="2016-12-29T13:56:00"/>
    <d v="2016-12-29T14:11:00"/>
    <s v="Business"/>
    <s v="Kar?chi"/>
    <s v="Kar?chi"/>
    <x v="197"/>
    <x v="10"/>
  </r>
  <r>
    <d v="2016-12-29T14:42:00"/>
    <d v="2016-12-29T14:58:00"/>
    <s v="Business"/>
    <s v="Kar?chi"/>
    <s v="Kar?chi"/>
    <x v="59"/>
    <x v="6"/>
  </r>
  <r>
    <d v="2016-12-29T15:05:00"/>
    <d v="2016-12-29T15:16:00"/>
    <s v="Business"/>
    <s v="Kar?chi"/>
    <s v="Kar?chi"/>
    <x v="188"/>
    <x v="2"/>
  </r>
  <r>
    <d v="2016-12-29T18:59:00"/>
    <d v="2016-12-29T19:14:00"/>
    <s v="Business"/>
    <s v="Kar?chi"/>
    <s v="Unknown Location"/>
    <x v="61"/>
    <x v="0"/>
  </r>
  <r>
    <d v="2016-12-29T19:50:00"/>
    <d v="2016-12-29T20:10:00"/>
    <s v="Business"/>
    <s v="Unknown Location"/>
    <s v="Kar?chi"/>
    <x v="197"/>
    <x v="4"/>
  </r>
  <r>
    <d v="2016-12-29T20:15:00"/>
    <d v="2016-12-29T20:45:00"/>
    <s v="Business"/>
    <s v="Kar?chi"/>
    <s v="Kar?chi"/>
    <x v="28"/>
    <x v="3"/>
  </r>
  <r>
    <d v="2016-12-29T20:53:00"/>
    <d v="2016-12-29T21:42:00"/>
    <s v="Business"/>
    <s v="Kar?chi"/>
    <s v="Unknown Location"/>
    <x v="13"/>
    <x v="1"/>
  </r>
  <r>
    <d v="2016-12-29T23:14:00"/>
    <d v="2016-12-29T23:47:00"/>
    <s v="Business"/>
    <s v="Unknown Location"/>
    <s v="Kar?chi"/>
    <x v="39"/>
    <x v="3"/>
  </r>
  <r>
    <d v="2016-12-30T10:15:00"/>
    <d v="2016-12-30T10:33:00"/>
    <s v="Business"/>
    <s v="Kar?chi"/>
    <s v="Kar?chi"/>
    <x v="109"/>
    <x v="2"/>
  </r>
  <r>
    <d v="2016-12-30T11:31:00"/>
    <d v="2016-12-30T11:56:00"/>
    <s v="Business"/>
    <s v="Kar?chi"/>
    <s v="Kar?chi"/>
    <x v="163"/>
    <x v="2"/>
  </r>
  <r>
    <d v="2016-12-30T15:41:00"/>
    <d v="2016-12-30T16:03:00"/>
    <s v="Business"/>
    <s v="Kar?chi"/>
    <s v="Kar?chi"/>
    <x v="43"/>
    <x v="2"/>
  </r>
  <r>
    <d v="2016-12-30T16:45:00"/>
    <d v="2016-12-30T17:08:00"/>
    <s v="Business"/>
    <s v="Kar?chi"/>
    <s v="Kar?chi"/>
    <x v="43"/>
    <x v="3"/>
  </r>
  <r>
    <d v="2016-12-30T23:06:00"/>
    <d v="2016-12-30T23:10:00"/>
    <s v="Business"/>
    <s v="Kar?chi"/>
    <s v="Kar?chi"/>
    <x v="7"/>
    <x v="4"/>
  </r>
  <r>
    <d v="2016-12-31T01:07:00"/>
    <d v="2016-12-31T01:14:00"/>
    <s v="Business"/>
    <s v="Kar?chi"/>
    <s v="Kar?chi"/>
    <x v="145"/>
    <x v="3"/>
  </r>
  <r>
    <d v="2016-12-31T13:24:00"/>
    <d v="2016-12-31T13:42:00"/>
    <s v="Business"/>
    <s v="Kar?chi"/>
    <s v="Unknown Location"/>
    <x v="25"/>
    <x v="5"/>
  </r>
  <r>
    <d v="2016-12-31T15:03:00"/>
    <d v="2016-12-31T15:38:00"/>
    <s v="Business"/>
    <s v="Unknown Location"/>
    <s v="Unknown Location"/>
    <x v="206"/>
    <x v="3"/>
  </r>
  <r>
    <d v="2016-12-31T21:32:00"/>
    <d v="2016-12-31T21:50:00"/>
    <s v="Business"/>
    <s v="Katunayake"/>
    <s v="Gampaha"/>
    <x v="13"/>
    <x v="5"/>
  </r>
  <r>
    <d v="2016-12-31T22:08:00"/>
    <d v="2016-12-31T23:51:00"/>
    <s v="Business"/>
    <s v="Gampaha"/>
    <s v="Ilukwatta"/>
    <x v="255"/>
    <x v="5"/>
  </r>
  <r>
    <s v="Totals"/>
    <m/>
    <m/>
    <m/>
    <m/>
    <x v="25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D86DB-DD68-4169-B891-9C8329D66B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Hours">
  <location ref="A3:B27" firstHeaderRow="1" firstDataRow="1" firstDataCol="1" rowPageCount="1" colPageCount="1"/>
  <pivotFields count="3">
    <pivotField axis="axisRow" showAll="0">
      <items count="24">
        <item x="13"/>
        <item x="1"/>
        <item x="22"/>
        <item x="17"/>
        <item x="19"/>
        <item x="21"/>
        <item x="18"/>
        <item x="6"/>
        <item x="14"/>
        <item x="15"/>
        <item x="11"/>
        <item x="7"/>
        <item x="5"/>
        <item x="4"/>
        <item x="8"/>
        <item x="12"/>
        <item x="3"/>
        <item x="9"/>
        <item x="10"/>
        <item x="2"/>
        <item x="0"/>
        <item x="20"/>
        <item x="16"/>
        <item t="default"/>
      </items>
    </pivotField>
    <pivotField dataField="1" numFmtId="14" showAll="0"/>
    <pivotField axis="axisPage" showAll="0">
      <items count="8">
        <item x="5"/>
        <item x="6"/>
        <item x="2"/>
        <item x="3"/>
        <item x="4"/>
        <item x="0"/>
        <item x="1"/>
        <item t="default"/>
      </items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ageFields count="1">
    <pageField fld="2" hier="-1"/>
  </pageFields>
  <dataFields count="1">
    <dataField name="Ride Count" fld="1" subtotal="count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22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C5989-B78A-4473-BBC1-0E68009951F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urpose">
  <location ref="A3:B15" firstHeaderRow="1" firstDataRow="1" firstDataCol="1"/>
  <pivotFields count="7">
    <pivotField showAll="0"/>
    <pivotField showAll="0"/>
    <pivotField showAll="0"/>
    <pivotField showAll="0"/>
    <pivotField showAll="0"/>
    <pivotField dataField="1" showAll="0">
      <items count="258">
        <item x="35"/>
        <item x="186"/>
        <item x="145"/>
        <item x="7"/>
        <item x="129"/>
        <item x="32"/>
        <item x="53"/>
        <item x="115"/>
        <item x="188"/>
        <item x="34"/>
        <item x="62"/>
        <item x="14"/>
        <item x="15"/>
        <item x="18"/>
        <item x="16"/>
        <item x="20"/>
        <item x="102"/>
        <item x="95"/>
        <item x="33"/>
        <item x="19"/>
        <item x="88"/>
        <item x="66"/>
        <item x="38"/>
        <item x="109"/>
        <item x="163"/>
        <item x="61"/>
        <item x="97"/>
        <item x="57"/>
        <item x="171"/>
        <item x="37"/>
        <item x="85"/>
        <item x="78"/>
        <item x="174"/>
        <item x="103"/>
        <item x="25"/>
        <item x="17"/>
        <item x="197"/>
        <item x="86"/>
        <item x="5"/>
        <item x="183"/>
        <item x="77"/>
        <item x="43"/>
        <item x="3"/>
        <item x="2"/>
        <item x="106"/>
        <item x="1"/>
        <item x="0"/>
        <item x="44"/>
        <item x="60"/>
        <item x="245"/>
        <item x="47"/>
        <item x="58"/>
        <item x="48"/>
        <item x="46"/>
        <item x="111"/>
        <item x="51"/>
        <item x="59"/>
        <item x="12"/>
        <item x="98"/>
        <item x="13"/>
        <item x="107"/>
        <item x="104"/>
        <item x="135"/>
        <item x="101"/>
        <item x="136"/>
        <item x="187"/>
        <item x="6"/>
        <item x="28"/>
        <item x="84"/>
        <item x="184"/>
        <item x="11"/>
        <item x="29"/>
        <item x="55"/>
        <item x="108"/>
        <item x="150"/>
        <item x="26"/>
        <item x="72"/>
        <item x="158"/>
        <item x="8"/>
        <item x="69"/>
        <item x="65"/>
        <item x="180"/>
        <item x="151"/>
        <item x="93"/>
        <item x="71"/>
        <item x="54"/>
        <item x="198"/>
        <item x="123"/>
        <item x="167"/>
        <item x="112"/>
        <item x="199"/>
        <item x="128"/>
        <item x="52"/>
        <item x="165"/>
        <item x="100"/>
        <item x="82"/>
        <item x="45"/>
        <item x="250"/>
        <item x="239"/>
        <item x="27"/>
        <item x="116"/>
        <item x="99"/>
        <item x="254"/>
        <item x="10"/>
        <item x="105"/>
        <item x="143"/>
        <item x="248"/>
        <item x="22"/>
        <item x="168"/>
        <item x="56"/>
        <item x="70"/>
        <item x="175"/>
        <item x="23"/>
        <item x="113"/>
        <item x="124"/>
        <item x="207"/>
        <item x="177"/>
        <item x="190"/>
        <item x="110"/>
        <item x="117"/>
        <item x="121"/>
        <item x="81"/>
        <item x="114"/>
        <item x="39"/>
        <item x="73"/>
        <item x="240"/>
        <item x="122"/>
        <item x="185"/>
        <item x="189"/>
        <item x="64"/>
        <item x="87"/>
        <item x="156"/>
        <item x="139"/>
        <item x="74"/>
        <item x="170"/>
        <item x="76"/>
        <item x="161"/>
        <item x="89"/>
        <item x="92"/>
        <item x="200"/>
        <item x="41"/>
        <item x="169"/>
        <item x="176"/>
        <item x="21"/>
        <item x="157"/>
        <item x="155"/>
        <item x="229"/>
        <item x="120"/>
        <item x="204"/>
        <item x="42"/>
        <item x="154"/>
        <item x="141"/>
        <item x="206"/>
        <item x="173"/>
        <item x="142"/>
        <item x="9"/>
        <item x="179"/>
        <item x="220"/>
        <item x="67"/>
        <item x="30"/>
        <item x="216"/>
        <item x="63"/>
        <item x="201"/>
        <item x="166"/>
        <item x="209"/>
        <item x="222"/>
        <item x="68"/>
        <item x="162"/>
        <item x="83"/>
        <item x="90"/>
        <item x="247"/>
        <item x="153"/>
        <item x="36"/>
        <item x="249"/>
        <item x="40"/>
        <item x="152"/>
        <item x="178"/>
        <item x="49"/>
        <item x="96"/>
        <item x="208"/>
        <item x="144"/>
        <item x="164"/>
        <item x="225"/>
        <item x="79"/>
        <item x="24"/>
        <item x="172"/>
        <item x="192"/>
        <item x="159"/>
        <item x="94"/>
        <item x="131"/>
        <item x="91"/>
        <item x="253"/>
        <item x="50"/>
        <item x="80"/>
        <item x="195"/>
        <item x="210"/>
        <item x="130"/>
        <item x="138"/>
        <item x="205"/>
        <item x="137"/>
        <item x="193"/>
        <item x="228"/>
        <item x="221"/>
        <item x="140"/>
        <item x="235"/>
        <item x="182"/>
        <item x="119"/>
        <item x="202"/>
        <item x="203"/>
        <item x="252"/>
        <item x="160"/>
        <item x="224"/>
        <item x="212"/>
        <item x="125"/>
        <item x="126"/>
        <item x="243"/>
        <item x="219"/>
        <item x="246"/>
        <item x="31"/>
        <item x="233"/>
        <item x="194"/>
        <item x="244"/>
        <item x="75"/>
        <item x="241"/>
        <item x="227"/>
        <item x="238"/>
        <item x="242"/>
        <item x="181"/>
        <item x="226"/>
        <item x="255"/>
        <item x="213"/>
        <item x="127"/>
        <item x="4"/>
        <item x="236"/>
        <item x="217"/>
        <item x="234"/>
        <item x="146"/>
        <item x="147"/>
        <item x="214"/>
        <item x="232"/>
        <item x="211"/>
        <item x="251"/>
        <item x="230"/>
        <item x="223"/>
        <item x="231"/>
        <item x="118"/>
        <item x="132"/>
        <item x="215"/>
        <item x="149"/>
        <item x="148"/>
        <item x="196"/>
        <item x="191"/>
        <item x="218"/>
        <item x="237"/>
        <item x="134"/>
        <item x="133"/>
        <item x="256"/>
        <item t="default"/>
      </items>
    </pivotField>
    <pivotField axis="axisRow" showAll="0">
      <items count="12">
        <item x="10"/>
        <item x="6"/>
        <item x="7"/>
        <item x="8"/>
        <item x="4"/>
        <item x="2"/>
        <item x="0"/>
        <item x="3"/>
        <item x="9"/>
        <item x="5"/>
        <item x="1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 MILES" fld="5" subtotal="average" baseField="6" baseItem="0" numFmtId="2"/>
  </dataFields>
  <formats count="7"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6" type="button" dataOnly="0" labelOnly="1" outline="0" axis="axisRow" fieldPosition="0"/>
    </format>
    <format dxfId="5">
      <pivotArea dataOnly="0" labelOnly="1" fieldPosition="0">
        <references count="1">
          <reference field="6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C3730C-3B69-44F6-9AB0-84A14BEEB4FA}" name="Table1" displayName="Table1" ref="A1:G1157" totalsRowShown="0">
  <autoFilter ref="A1:G1157" xr:uid="{7EC3730C-3B69-44F6-9AB0-84A14BEEB4FA}"/>
  <tableColumns count="7">
    <tableColumn id="1" xr3:uid="{943845C5-2CE1-46A9-BE10-A40EBB99A068}" name="START_DATE" dataDxfId="2"/>
    <tableColumn id="2" xr3:uid="{EA1E10A3-BF5D-4E69-AD2E-03131FC70E81}" name="END_DATE" dataDxfId="1"/>
    <tableColumn id="3" xr3:uid="{AE8CDA5C-07D4-4883-96B4-E3E89BF1021E}" name="CATEGORY"/>
    <tableColumn id="4" xr3:uid="{B7009A18-7268-4DB6-8079-91C51991B30D}" name="START"/>
    <tableColumn id="5" xr3:uid="{685EDC5B-DC9C-42E9-AD6B-201BA2311A50}" name="STOP"/>
    <tableColumn id="6" xr3:uid="{66BEF8A2-E505-44D8-AB84-65CD83DEDAA7}" name="MILES"/>
    <tableColumn id="7" xr3:uid="{00587743-6B1B-4B41-86C8-42CE366C5C71}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67B7D2-6F23-4230-9B30-99D58C067DD4}" name="Table2" displayName="Table2" ref="J1:L1156" totalsRowShown="0">
  <autoFilter ref="J1:L1156" xr:uid="{2467B7D2-6F23-4230-9B30-99D58C067DD4}"/>
  <tableColumns count="3">
    <tableColumn id="1" xr3:uid="{738900D4-1EFA-49B2-B9C2-B0BE6D76EDA7}" name="Pickup_Hour">
      <calculatedColumnFormula>HOUR(Table1[[#This Row],[START_DATE]])</calculatedColumnFormula>
    </tableColumn>
    <tableColumn id="2" xr3:uid="{8FA03BBF-D51C-4CC2-8E37-100D8059A0C1}" name="Pickup_Date" dataDxfId="0">
      <calculatedColumnFormula>DATE(YEAR(A2), MONTH(A2), DAY(A2))</calculatedColumnFormula>
    </tableColumn>
    <tableColumn id="3" xr3:uid="{126123E2-5D78-4BF5-831E-0C5853F58E6F}" name="Day of Week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59E-166E-4BC0-8F1A-B0A79E0AAC35}">
  <dimension ref="A1:B27"/>
  <sheetViews>
    <sheetView workbookViewId="0">
      <selection activeCell="P14" sqref="P14"/>
    </sheetView>
  </sheetViews>
  <sheetFormatPr defaultRowHeight="14.5" x14ac:dyDescent="0.35"/>
  <cols>
    <col min="1" max="1" width="12.453125" bestFit="1" customWidth="1"/>
    <col min="2" max="2" width="19" bestFit="1" customWidth="1"/>
  </cols>
  <sheetData>
    <row r="1" spans="1:2" x14ac:dyDescent="0.35">
      <c r="A1" s="3" t="s">
        <v>233</v>
      </c>
      <c r="B1" s="4" t="s">
        <v>234</v>
      </c>
    </row>
    <row r="3" spans="1:2" x14ac:dyDescent="0.35">
      <c r="A3" s="3" t="s">
        <v>235</v>
      </c>
      <c r="B3" s="4" t="s">
        <v>236</v>
      </c>
    </row>
    <row r="4" spans="1:2" x14ac:dyDescent="0.35">
      <c r="A4" s="5">
        <v>0</v>
      </c>
      <c r="B4" s="4">
        <v>19</v>
      </c>
    </row>
    <row r="5" spans="1:2" x14ac:dyDescent="0.35">
      <c r="A5" s="5">
        <v>1</v>
      </c>
      <c r="B5" s="4">
        <v>5</v>
      </c>
    </row>
    <row r="6" spans="1:2" x14ac:dyDescent="0.35">
      <c r="A6" s="5">
        <v>2</v>
      </c>
      <c r="B6" s="4">
        <v>2</v>
      </c>
    </row>
    <row r="7" spans="1:2" x14ac:dyDescent="0.35">
      <c r="A7" s="5">
        <v>3</v>
      </c>
      <c r="B7" s="4">
        <v>3</v>
      </c>
    </row>
    <row r="8" spans="1:2" x14ac:dyDescent="0.35">
      <c r="A8" s="5">
        <v>5</v>
      </c>
      <c r="B8" s="4">
        <v>4</v>
      </c>
    </row>
    <row r="9" spans="1:2" x14ac:dyDescent="0.35">
      <c r="A9" s="5">
        <v>6</v>
      </c>
      <c r="B9" s="4">
        <v>4</v>
      </c>
    </row>
    <row r="10" spans="1:2" x14ac:dyDescent="0.35">
      <c r="A10" s="5">
        <v>7</v>
      </c>
      <c r="B10" s="4">
        <v>13</v>
      </c>
    </row>
    <row r="11" spans="1:2" x14ac:dyDescent="0.35">
      <c r="A11" s="5">
        <v>8</v>
      </c>
      <c r="B11" s="4">
        <v>35</v>
      </c>
    </row>
    <row r="12" spans="1:2" x14ac:dyDescent="0.35">
      <c r="A12" s="5">
        <v>9</v>
      </c>
      <c r="B12" s="4">
        <v>51</v>
      </c>
    </row>
    <row r="13" spans="1:2" x14ac:dyDescent="0.35">
      <c r="A13" s="5">
        <v>10</v>
      </c>
      <c r="B13" s="4">
        <v>65</v>
      </c>
    </row>
    <row r="14" spans="1:2" x14ac:dyDescent="0.35">
      <c r="A14" s="5">
        <v>11</v>
      </c>
      <c r="B14" s="4">
        <v>72</v>
      </c>
    </row>
    <row r="15" spans="1:2" x14ac:dyDescent="0.35">
      <c r="A15" s="5">
        <v>12</v>
      </c>
      <c r="B15" s="4">
        <v>77</v>
      </c>
    </row>
    <row r="16" spans="1:2" x14ac:dyDescent="0.35">
      <c r="A16" s="5">
        <v>13</v>
      </c>
      <c r="B16" s="4">
        <v>94</v>
      </c>
    </row>
    <row r="17" spans="1:2" x14ac:dyDescent="0.35">
      <c r="A17" s="5">
        <v>14</v>
      </c>
      <c r="B17" s="4">
        <v>89</v>
      </c>
    </row>
    <row r="18" spans="1:2" x14ac:dyDescent="0.35">
      <c r="A18" s="5">
        <v>15</v>
      </c>
      <c r="B18" s="4">
        <v>98</v>
      </c>
    </row>
    <row r="19" spans="1:2" x14ac:dyDescent="0.35">
      <c r="A19" s="5">
        <v>16</v>
      </c>
      <c r="B19" s="4">
        <v>88</v>
      </c>
    </row>
    <row r="20" spans="1:2" x14ac:dyDescent="0.35">
      <c r="A20" s="5">
        <v>17</v>
      </c>
      <c r="B20" s="4">
        <v>95</v>
      </c>
    </row>
    <row r="21" spans="1:2" x14ac:dyDescent="0.35">
      <c r="A21" s="5">
        <v>18</v>
      </c>
      <c r="B21" s="4">
        <v>94</v>
      </c>
    </row>
    <row r="22" spans="1:2" x14ac:dyDescent="0.35">
      <c r="A22" s="5">
        <v>19</v>
      </c>
      <c r="B22" s="4">
        <v>68</v>
      </c>
    </row>
    <row r="23" spans="1:2" x14ac:dyDescent="0.35">
      <c r="A23" s="5">
        <v>20</v>
      </c>
      <c r="B23" s="4">
        <v>71</v>
      </c>
    </row>
    <row r="24" spans="1:2" x14ac:dyDescent="0.35">
      <c r="A24" s="5">
        <v>21</v>
      </c>
      <c r="B24" s="4">
        <v>51</v>
      </c>
    </row>
    <row r="25" spans="1:2" x14ac:dyDescent="0.35">
      <c r="A25" s="5">
        <v>22</v>
      </c>
      <c r="B25" s="4">
        <v>31</v>
      </c>
    </row>
    <row r="26" spans="1:2" x14ac:dyDescent="0.35">
      <c r="A26" s="5">
        <v>23</v>
      </c>
      <c r="B26" s="4">
        <v>26</v>
      </c>
    </row>
    <row r="27" spans="1:2" x14ac:dyDescent="0.35">
      <c r="A27" s="5" t="s">
        <v>229</v>
      </c>
      <c r="B27" s="4">
        <v>1155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5A75-7E00-4C8E-94AE-B8D97C3DB9E4}">
  <dimension ref="A3:B15"/>
  <sheetViews>
    <sheetView tabSelected="1" workbookViewId="0">
      <selection activeCell="B20" sqref="B20"/>
    </sheetView>
  </sheetViews>
  <sheetFormatPr defaultRowHeight="14.5" x14ac:dyDescent="0.35"/>
  <cols>
    <col min="1" max="1" width="14.08984375" bestFit="1" customWidth="1"/>
    <col min="2" max="2" width="6.36328125" bestFit="1" customWidth="1"/>
    <col min="3" max="257" width="15.6328125" bestFit="1" customWidth="1"/>
    <col min="258" max="258" width="10.36328125" bestFit="1" customWidth="1"/>
  </cols>
  <sheetData>
    <row r="3" spans="1:2" x14ac:dyDescent="0.35">
      <c r="A3" s="3" t="s">
        <v>237</v>
      </c>
      <c r="B3" s="4" t="s">
        <v>238</v>
      </c>
    </row>
    <row r="4" spans="1:2" x14ac:dyDescent="0.35">
      <c r="A4" s="5" t="s">
        <v>187</v>
      </c>
      <c r="B4" s="6">
        <v>5.5</v>
      </c>
    </row>
    <row r="5" spans="1:2" x14ac:dyDescent="0.35">
      <c r="A5" s="5" t="s">
        <v>53</v>
      </c>
      <c r="B5" s="6">
        <v>10.944444444444446</v>
      </c>
    </row>
    <row r="6" spans="1:2" x14ac:dyDescent="0.35">
      <c r="A6" s="5" t="s">
        <v>172</v>
      </c>
      <c r="B6" s="6">
        <v>15.1</v>
      </c>
    </row>
    <row r="7" spans="1:2" x14ac:dyDescent="0.35">
      <c r="A7" s="5" t="s">
        <v>173</v>
      </c>
      <c r="B7" s="6">
        <v>180.2</v>
      </c>
    </row>
    <row r="8" spans="1:2" x14ac:dyDescent="0.35">
      <c r="A8" s="5" t="s">
        <v>13</v>
      </c>
      <c r="B8" s="6">
        <v>20.688118811881193</v>
      </c>
    </row>
    <row r="9" spans="1:2" x14ac:dyDescent="0.35">
      <c r="A9" s="5" t="s">
        <v>10</v>
      </c>
      <c r="B9" s="6">
        <v>3.9687500000000004</v>
      </c>
    </row>
    <row r="10" spans="1:2" x14ac:dyDescent="0.35">
      <c r="A10" s="5" t="s">
        <v>9</v>
      </c>
      <c r="B10" s="6">
        <v>5.6981250000000001</v>
      </c>
    </row>
    <row r="11" spans="1:2" x14ac:dyDescent="0.35">
      <c r="A11" s="5" t="s">
        <v>11</v>
      </c>
      <c r="B11" s="6">
        <v>15.247593582887706</v>
      </c>
    </row>
    <row r="12" spans="1:2" x14ac:dyDescent="0.35">
      <c r="A12" s="5" t="s">
        <v>174</v>
      </c>
      <c r="B12" s="6">
        <v>4.55</v>
      </c>
    </row>
    <row r="13" spans="1:2" x14ac:dyDescent="0.35">
      <c r="A13" s="5" t="s">
        <v>24</v>
      </c>
      <c r="B13" s="6">
        <v>10.473999999999997</v>
      </c>
    </row>
    <row r="14" spans="1:2" x14ac:dyDescent="0.35">
      <c r="A14" s="5" t="s">
        <v>230</v>
      </c>
      <c r="B14" s="6">
        <v>33.992445328031806</v>
      </c>
    </row>
    <row r="15" spans="1:2" x14ac:dyDescent="0.35">
      <c r="A15" s="5" t="s">
        <v>229</v>
      </c>
      <c r="B15" s="6">
        <v>21.11539792387541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8A77-99DA-4D98-A500-9EE3EF75D1C8}">
  <dimension ref="A1:L1157"/>
  <sheetViews>
    <sheetView workbookViewId="0">
      <selection activeCell="I9" sqref="I9"/>
    </sheetView>
  </sheetViews>
  <sheetFormatPr defaultRowHeight="14.5" x14ac:dyDescent="0.35"/>
  <cols>
    <col min="1" max="2" width="15.08984375" bestFit="1" customWidth="1"/>
    <col min="3" max="3" width="11.90625" customWidth="1"/>
    <col min="4" max="4" width="22.7265625" bestFit="1" customWidth="1"/>
    <col min="5" max="5" width="22.54296875" bestFit="1" customWidth="1"/>
    <col min="7" max="7" width="14.08984375" bestFit="1" customWidth="1"/>
    <col min="10" max="10" width="13.453125" customWidth="1"/>
    <col min="11" max="11" width="13.36328125" customWidth="1"/>
    <col min="12" max="12" width="13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231</v>
      </c>
      <c r="K1" t="s">
        <v>232</v>
      </c>
      <c r="L1" t="s">
        <v>233</v>
      </c>
    </row>
    <row r="2" spans="1:12" x14ac:dyDescent="0.35">
      <c r="A2" s="1">
        <v>42370.882638888892</v>
      </c>
      <c r="B2" s="1">
        <v>42370.886805555558</v>
      </c>
      <c r="C2" t="s">
        <v>7</v>
      </c>
      <c r="D2" t="s">
        <v>8</v>
      </c>
      <c r="E2" t="s">
        <v>8</v>
      </c>
      <c r="F2">
        <v>5.0999999999999996</v>
      </c>
      <c r="G2" t="s">
        <v>9</v>
      </c>
      <c r="J2">
        <f>HOUR(Table1[[#This Row],[START_DATE]])</f>
        <v>21</v>
      </c>
      <c r="K2" s="2">
        <f>DATE(YEAR(A2), MONTH(A2), DAY(A2))</f>
        <v>42370</v>
      </c>
      <c r="L2" t="str">
        <f>TEXT(A2,"dddd")</f>
        <v>Friday</v>
      </c>
    </row>
    <row r="3" spans="1:12" x14ac:dyDescent="0.35">
      <c r="A3" s="1">
        <v>42371.059027777781</v>
      </c>
      <c r="B3" s="1">
        <v>42371.067361111112</v>
      </c>
      <c r="C3" t="s">
        <v>7</v>
      </c>
      <c r="D3" t="s">
        <v>8</v>
      </c>
      <c r="E3" t="s">
        <v>8</v>
      </c>
      <c r="F3">
        <v>5</v>
      </c>
      <c r="J3">
        <f>HOUR(Table1[[#This Row],[START_DATE]])</f>
        <v>1</v>
      </c>
      <c r="K3" s="2">
        <f t="shared" ref="K3:K66" si="0">DATE(YEAR(A3), MONTH(A3), DAY(A3))</f>
        <v>42371</v>
      </c>
      <c r="L3" t="str">
        <f t="shared" ref="L3:L66" si="1">TEXT(A3,"dddd")</f>
        <v>Saturday</v>
      </c>
    </row>
    <row r="4" spans="1:12" x14ac:dyDescent="0.35">
      <c r="A4" s="1">
        <v>42371.850694444445</v>
      </c>
      <c r="B4" s="1">
        <v>42371.859722222223</v>
      </c>
      <c r="C4" t="s">
        <v>7</v>
      </c>
      <c r="D4" t="s">
        <v>8</v>
      </c>
      <c r="E4" t="s">
        <v>8</v>
      </c>
      <c r="F4">
        <v>4.8</v>
      </c>
      <c r="G4" t="s">
        <v>10</v>
      </c>
      <c r="J4">
        <f>HOUR(Table1[[#This Row],[START_DATE]])</f>
        <v>20</v>
      </c>
      <c r="K4" s="2">
        <f t="shared" si="0"/>
        <v>42371</v>
      </c>
      <c r="L4" t="str">
        <f t="shared" si="1"/>
        <v>Saturday</v>
      </c>
    </row>
    <row r="5" spans="1:12" x14ac:dyDescent="0.35">
      <c r="A5" s="1">
        <v>42374.729861111111</v>
      </c>
      <c r="B5" s="1">
        <v>42374.739583333336</v>
      </c>
      <c r="C5" t="s">
        <v>7</v>
      </c>
      <c r="D5" t="s">
        <v>8</v>
      </c>
      <c r="E5" t="s">
        <v>8</v>
      </c>
      <c r="F5">
        <v>4.7</v>
      </c>
      <c r="G5" t="s">
        <v>11</v>
      </c>
      <c r="J5">
        <f>HOUR(Table1[[#This Row],[START_DATE]])</f>
        <v>17</v>
      </c>
      <c r="K5" s="2">
        <f t="shared" si="0"/>
        <v>42374</v>
      </c>
      <c r="L5" t="str">
        <f t="shared" si="1"/>
        <v>Tuesday</v>
      </c>
    </row>
    <row r="6" spans="1:12" x14ac:dyDescent="0.35">
      <c r="A6" s="1">
        <v>42375.612500000003</v>
      </c>
      <c r="B6" s="1">
        <v>42375.65902777778</v>
      </c>
      <c r="C6" t="s">
        <v>7</v>
      </c>
      <c r="D6" t="s">
        <v>8</v>
      </c>
      <c r="E6" t="s">
        <v>12</v>
      </c>
      <c r="F6">
        <v>63.7</v>
      </c>
      <c r="G6" t="s">
        <v>13</v>
      </c>
      <c r="J6">
        <f>HOUR(Table1[[#This Row],[START_DATE]])</f>
        <v>14</v>
      </c>
      <c r="K6" s="2">
        <f t="shared" si="0"/>
        <v>42375</v>
      </c>
      <c r="L6" t="str">
        <f t="shared" si="1"/>
        <v>Wednesday</v>
      </c>
    </row>
    <row r="7" spans="1:12" x14ac:dyDescent="0.35">
      <c r="A7" s="1">
        <v>42375.71875</v>
      </c>
      <c r="B7" s="1">
        <v>42375.72152777778</v>
      </c>
      <c r="C7" t="s">
        <v>7</v>
      </c>
      <c r="D7" t="s">
        <v>12</v>
      </c>
      <c r="E7" t="s">
        <v>12</v>
      </c>
      <c r="F7">
        <v>4.3</v>
      </c>
      <c r="G7" t="s">
        <v>9</v>
      </c>
      <c r="J7">
        <f>HOUR(Table1[[#This Row],[START_DATE]])</f>
        <v>17</v>
      </c>
      <c r="K7" s="2">
        <f t="shared" si="0"/>
        <v>42375</v>
      </c>
      <c r="L7" t="str">
        <f t="shared" si="1"/>
        <v>Wednesday</v>
      </c>
    </row>
    <row r="8" spans="1:12" x14ac:dyDescent="0.35">
      <c r="A8" s="1">
        <v>42375.729166666664</v>
      </c>
      <c r="B8" s="1">
        <v>42375.732638888891</v>
      </c>
      <c r="C8" t="s">
        <v>7</v>
      </c>
      <c r="D8" t="s">
        <v>12</v>
      </c>
      <c r="E8" t="s">
        <v>14</v>
      </c>
      <c r="F8">
        <v>7.1</v>
      </c>
      <c r="G8" t="s">
        <v>11</v>
      </c>
      <c r="J8">
        <f>HOUR(Table1[[#This Row],[START_DATE]])</f>
        <v>17</v>
      </c>
      <c r="K8" s="2">
        <f t="shared" si="0"/>
        <v>42375</v>
      </c>
      <c r="L8" t="str">
        <f t="shared" si="1"/>
        <v>Wednesday</v>
      </c>
    </row>
    <row r="9" spans="1:12" x14ac:dyDescent="0.35">
      <c r="A9" s="1">
        <v>42376.560416666667</v>
      </c>
      <c r="B9" s="1">
        <v>42376.564583333333</v>
      </c>
      <c r="C9" t="s">
        <v>7</v>
      </c>
      <c r="D9" t="s">
        <v>15</v>
      </c>
      <c r="E9" t="s">
        <v>15</v>
      </c>
      <c r="F9">
        <v>0.8</v>
      </c>
      <c r="G9" t="s">
        <v>11</v>
      </c>
      <c r="J9">
        <f>HOUR(Table1[[#This Row],[START_DATE]])</f>
        <v>13</v>
      </c>
      <c r="K9" s="2">
        <f t="shared" si="0"/>
        <v>42376</v>
      </c>
      <c r="L9" t="str">
        <f t="shared" si="1"/>
        <v>Thursday</v>
      </c>
    </row>
    <row r="10" spans="1:12" x14ac:dyDescent="0.35">
      <c r="A10" s="1">
        <v>42379.336805555555</v>
      </c>
      <c r="B10" s="1">
        <v>42379.350694444445</v>
      </c>
      <c r="C10" t="s">
        <v>7</v>
      </c>
      <c r="D10" t="s">
        <v>15</v>
      </c>
      <c r="E10" t="s">
        <v>16</v>
      </c>
      <c r="F10">
        <v>8.3000000000000007</v>
      </c>
      <c r="G10" t="s">
        <v>11</v>
      </c>
      <c r="J10">
        <f>HOUR(Table1[[#This Row],[START_DATE]])</f>
        <v>8</v>
      </c>
      <c r="K10" s="2">
        <f t="shared" si="0"/>
        <v>42379</v>
      </c>
      <c r="L10" t="str">
        <f t="shared" si="1"/>
        <v>Sunday</v>
      </c>
    </row>
    <row r="11" spans="1:12" x14ac:dyDescent="0.35">
      <c r="A11" s="1">
        <v>42379.511805555558</v>
      </c>
      <c r="B11" s="1">
        <v>42379.530555555553</v>
      </c>
      <c r="C11" t="s">
        <v>7</v>
      </c>
      <c r="D11" t="s">
        <v>17</v>
      </c>
      <c r="E11" t="s">
        <v>18</v>
      </c>
      <c r="F11">
        <v>16.5</v>
      </c>
      <c r="G11" t="s">
        <v>13</v>
      </c>
      <c r="J11">
        <f>HOUR(Table1[[#This Row],[START_DATE]])</f>
        <v>12</v>
      </c>
      <c r="K11" s="2">
        <f t="shared" si="0"/>
        <v>42379</v>
      </c>
      <c r="L11" t="str">
        <f t="shared" si="1"/>
        <v>Sunday</v>
      </c>
    </row>
    <row r="12" spans="1:12" x14ac:dyDescent="0.35">
      <c r="A12" s="1">
        <v>42379.630555555559</v>
      </c>
      <c r="B12" s="1">
        <v>42379.660416666666</v>
      </c>
      <c r="C12" t="s">
        <v>7</v>
      </c>
      <c r="D12" t="s">
        <v>18</v>
      </c>
      <c r="E12" t="s">
        <v>19</v>
      </c>
      <c r="F12">
        <v>10.8</v>
      </c>
      <c r="G12" t="s">
        <v>11</v>
      </c>
      <c r="J12">
        <f>HOUR(Table1[[#This Row],[START_DATE]])</f>
        <v>15</v>
      </c>
      <c r="K12" s="2">
        <f t="shared" si="0"/>
        <v>42379</v>
      </c>
      <c r="L12" t="str">
        <f t="shared" si="1"/>
        <v>Sunday</v>
      </c>
    </row>
    <row r="13" spans="1:12" x14ac:dyDescent="0.35">
      <c r="A13" s="1">
        <v>42379.762499999997</v>
      </c>
      <c r="B13" s="1">
        <v>42379.786805555559</v>
      </c>
      <c r="C13" t="s">
        <v>7</v>
      </c>
      <c r="D13" t="s">
        <v>20</v>
      </c>
      <c r="E13" t="s">
        <v>18</v>
      </c>
      <c r="F13">
        <v>7.5</v>
      </c>
      <c r="G13" t="s">
        <v>11</v>
      </c>
      <c r="J13">
        <f>HOUR(Table1[[#This Row],[START_DATE]])</f>
        <v>18</v>
      </c>
      <c r="K13" s="2">
        <f t="shared" si="0"/>
        <v>42379</v>
      </c>
      <c r="L13" t="str">
        <f t="shared" si="1"/>
        <v>Sunday</v>
      </c>
    </row>
    <row r="14" spans="1:12" x14ac:dyDescent="0.35">
      <c r="A14" s="1">
        <v>42379.8</v>
      </c>
      <c r="B14" s="1">
        <v>42379.813888888886</v>
      </c>
      <c r="C14" t="s">
        <v>7</v>
      </c>
      <c r="D14" t="s">
        <v>21</v>
      </c>
      <c r="E14" t="s">
        <v>22</v>
      </c>
      <c r="F14">
        <v>6.2</v>
      </c>
      <c r="G14" t="s">
        <v>11</v>
      </c>
      <c r="J14">
        <f>HOUR(Table1[[#This Row],[START_DATE]])</f>
        <v>19</v>
      </c>
      <c r="K14" s="2">
        <f t="shared" si="0"/>
        <v>42379</v>
      </c>
      <c r="L14" t="str">
        <f t="shared" si="1"/>
        <v>Sunday</v>
      </c>
    </row>
    <row r="15" spans="1:12" x14ac:dyDescent="0.35">
      <c r="A15" s="1">
        <v>42380.371527777781</v>
      </c>
      <c r="B15" s="1">
        <v>42380.38958333333</v>
      </c>
      <c r="C15" t="s">
        <v>7</v>
      </c>
      <c r="D15" t="s">
        <v>22</v>
      </c>
      <c r="E15" t="s">
        <v>23</v>
      </c>
      <c r="F15">
        <v>6.4</v>
      </c>
      <c r="G15" t="s">
        <v>24</v>
      </c>
      <c r="J15">
        <f>HOUR(Table1[[#This Row],[START_DATE]])</f>
        <v>8</v>
      </c>
      <c r="K15" s="2">
        <f t="shared" si="0"/>
        <v>42380</v>
      </c>
      <c r="L15" t="str">
        <f t="shared" si="1"/>
        <v>Monday</v>
      </c>
    </row>
    <row r="16" spans="1:12" x14ac:dyDescent="0.35">
      <c r="A16" s="1">
        <v>42380.49722222222</v>
      </c>
      <c r="B16" s="1">
        <v>42380.502083333333</v>
      </c>
      <c r="C16" t="s">
        <v>7</v>
      </c>
      <c r="D16" t="s">
        <v>25</v>
      </c>
      <c r="E16" t="s">
        <v>21</v>
      </c>
      <c r="F16">
        <v>1.6</v>
      </c>
      <c r="G16" t="s">
        <v>10</v>
      </c>
      <c r="J16">
        <f>HOUR(Table1[[#This Row],[START_DATE]])</f>
        <v>11</v>
      </c>
      <c r="K16" s="2">
        <f t="shared" si="0"/>
        <v>42380</v>
      </c>
      <c r="L16" t="str">
        <f t="shared" si="1"/>
        <v>Monday</v>
      </c>
    </row>
    <row r="17" spans="1:12" x14ac:dyDescent="0.35">
      <c r="A17" s="1">
        <v>42380.563888888886</v>
      </c>
      <c r="B17" s="1">
        <v>42380.573611111111</v>
      </c>
      <c r="C17" t="s">
        <v>7</v>
      </c>
      <c r="D17" t="s">
        <v>21</v>
      </c>
      <c r="E17" t="s">
        <v>26</v>
      </c>
      <c r="F17">
        <v>1.7</v>
      </c>
      <c r="G17" t="s">
        <v>9</v>
      </c>
      <c r="J17">
        <f>HOUR(Table1[[#This Row],[START_DATE]])</f>
        <v>13</v>
      </c>
      <c r="K17" s="2">
        <f t="shared" si="0"/>
        <v>42380</v>
      </c>
      <c r="L17" t="str">
        <f t="shared" si="1"/>
        <v>Monday</v>
      </c>
    </row>
    <row r="18" spans="1:12" x14ac:dyDescent="0.35">
      <c r="A18" s="1">
        <v>42380.604166666664</v>
      </c>
      <c r="B18" s="1">
        <v>42380.613194444442</v>
      </c>
      <c r="C18" t="s">
        <v>7</v>
      </c>
      <c r="D18" t="s">
        <v>26</v>
      </c>
      <c r="E18" t="s">
        <v>21</v>
      </c>
      <c r="F18">
        <v>1.9</v>
      </c>
      <c r="G18" t="s">
        <v>9</v>
      </c>
      <c r="J18">
        <f>HOUR(Table1[[#This Row],[START_DATE]])</f>
        <v>14</v>
      </c>
      <c r="K18" s="2">
        <f t="shared" si="0"/>
        <v>42380</v>
      </c>
      <c r="L18" t="str">
        <f t="shared" si="1"/>
        <v>Monday</v>
      </c>
    </row>
    <row r="19" spans="1:12" x14ac:dyDescent="0.35">
      <c r="A19" s="1">
        <v>42381.522916666669</v>
      </c>
      <c r="B19" s="1">
        <v>42381.53402777778</v>
      </c>
      <c r="C19" t="s">
        <v>7</v>
      </c>
      <c r="D19" t="s">
        <v>21</v>
      </c>
      <c r="E19" t="s">
        <v>27</v>
      </c>
      <c r="F19">
        <v>1.9</v>
      </c>
      <c r="G19" t="s">
        <v>9</v>
      </c>
      <c r="J19">
        <f>HOUR(Table1[[#This Row],[START_DATE]])</f>
        <v>12</v>
      </c>
      <c r="K19" s="2">
        <f t="shared" si="0"/>
        <v>42381</v>
      </c>
      <c r="L19" t="str">
        <f t="shared" si="1"/>
        <v>Tuesday</v>
      </c>
    </row>
    <row r="20" spans="1:12" x14ac:dyDescent="0.35">
      <c r="A20" s="1">
        <v>42381.536805555559</v>
      </c>
      <c r="B20" s="1">
        <v>42381.54791666667</v>
      </c>
      <c r="C20" t="s">
        <v>7</v>
      </c>
      <c r="D20" t="s">
        <v>27</v>
      </c>
      <c r="E20" t="s">
        <v>28</v>
      </c>
      <c r="F20">
        <v>4</v>
      </c>
      <c r="G20" t="s">
        <v>9</v>
      </c>
      <c r="J20">
        <f>HOUR(Table1[[#This Row],[START_DATE]])</f>
        <v>12</v>
      </c>
      <c r="K20" s="2">
        <f t="shared" si="0"/>
        <v>42381</v>
      </c>
      <c r="L20" t="str">
        <f t="shared" si="1"/>
        <v>Tuesday</v>
      </c>
    </row>
    <row r="21" spans="1:12" x14ac:dyDescent="0.35">
      <c r="A21" s="1">
        <v>42381.612500000003</v>
      </c>
      <c r="B21" s="1">
        <v>42381.62222222222</v>
      </c>
      <c r="C21" t="s">
        <v>7</v>
      </c>
      <c r="D21" t="s">
        <v>28</v>
      </c>
      <c r="E21" t="s">
        <v>27</v>
      </c>
      <c r="F21">
        <v>1.8</v>
      </c>
      <c r="G21" t="s">
        <v>10</v>
      </c>
      <c r="J21">
        <f>HOUR(Table1[[#This Row],[START_DATE]])</f>
        <v>14</v>
      </c>
      <c r="K21" s="2">
        <f t="shared" si="0"/>
        <v>42381</v>
      </c>
      <c r="L21" t="str">
        <f t="shared" si="1"/>
        <v>Tuesday</v>
      </c>
    </row>
    <row r="22" spans="1:12" x14ac:dyDescent="0.35">
      <c r="A22" s="1">
        <v>42381.634027777778</v>
      </c>
      <c r="B22" s="1">
        <v>42381.644444444442</v>
      </c>
      <c r="C22" t="s">
        <v>7</v>
      </c>
      <c r="D22" t="s">
        <v>27</v>
      </c>
      <c r="E22" t="s">
        <v>29</v>
      </c>
      <c r="F22">
        <v>2.4</v>
      </c>
      <c r="G22" t="s">
        <v>13</v>
      </c>
      <c r="J22">
        <f>HOUR(Table1[[#This Row],[START_DATE]])</f>
        <v>15</v>
      </c>
      <c r="K22" s="2">
        <f t="shared" si="0"/>
        <v>42381</v>
      </c>
      <c r="L22" t="str">
        <f t="shared" si="1"/>
        <v>Tuesday</v>
      </c>
    </row>
    <row r="23" spans="1:12" x14ac:dyDescent="0.35">
      <c r="A23" s="1">
        <v>42381.654166666667</v>
      </c>
      <c r="B23" s="1">
        <v>42381.662499999999</v>
      </c>
      <c r="C23" t="s">
        <v>7</v>
      </c>
      <c r="D23" t="s">
        <v>29</v>
      </c>
      <c r="E23" t="s">
        <v>21</v>
      </c>
      <c r="F23">
        <v>2</v>
      </c>
      <c r="G23" t="s">
        <v>10</v>
      </c>
      <c r="J23">
        <f>HOUR(Table1[[#This Row],[START_DATE]])</f>
        <v>15</v>
      </c>
      <c r="K23" s="2">
        <f t="shared" si="0"/>
        <v>42381</v>
      </c>
      <c r="L23" t="str">
        <f t="shared" si="1"/>
        <v>Tuesday</v>
      </c>
    </row>
    <row r="24" spans="1:12" x14ac:dyDescent="0.35">
      <c r="A24" s="1">
        <v>42381.668055555558</v>
      </c>
      <c r="B24" s="1">
        <v>42381.708333333336</v>
      </c>
      <c r="C24" t="s">
        <v>7</v>
      </c>
      <c r="D24" t="s">
        <v>18</v>
      </c>
      <c r="E24" t="s">
        <v>30</v>
      </c>
      <c r="F24">
        <v>15.1</v>
      </c>
      <c r="G24" t="s">
        <v>11</v>
      </c>
      <c r="J24">
        <f>HOUR(Table1[[#This Row],[START_DATE]])</f>
        <v>16</v>
      </c>
      <c r="K24" s="2">
        <f t="shared" si="0"/>
        <v>42381</v>
      </c>
      <c r="L24" t="str">
        <f t="shared" si="1"/>
        <v>Tuesday</v>
      </c>
    </row>
    <row r="25" spans="1:12" x14ac:dyDescent="0.35">
      <c r="A25" s="1">
        <v>42382.57916666667</v>
      </c>
      <c r="B25" s="1">
        <v>42382.588194444441</v>
      </c>
      <c r="C25" t="s">
        <v>7</v>
      </c>
      <c r="D25" t="s">
        <v>31</v>
      </c>
      <c r="E25" t="s">
        <v>32</v>
      </c>
      <c r="F25">
        <v>11.2</v>
      </c>
      <c r="G25" t="s">
        <v>11</v>
      </c>
      <c r="J25">
        <f>HOUR(Table1[[#This Row],[START_DATE]])</f>
        <v>13</v>
      </c>
      <c r="K25" s="2">
        <f t="shared" si="0"/>
        <v>42382</v>
      </c>
      <c r="L25" t="str">
        <f t="shared" si="1"/>
        <v>Wednesday</v>
      </c>
    </row>
    <row r="26" spans="1:12" x14ac:dyDescent="0.35">
      <c r="A26" s="1">
        <v>42382.625</v>
      </c>
      <c r="B26" s="1">
        <v>42382.644444444442</v>
      </c>
      <c r="C26" t="s">
        <v>7</v>
      </c>
      <c r="D26" t="s">
        <v>32</v>
      </c>
      <c r="E26" t="s">
        <v>31</v>
      </c>
      <c r="F26">
        <v>11.8</v>
      </c>
      <c r="G26" t="s">
        <v>11</v>
      </c>
      <c r="J26">
        <f>HOUR(Table1[[#This Row],[START_DATE]])</f>
        <v>15</v>
      </c>
      <c r="K26" s="2">
        <f t="shared" si="0"/>
        <v>42382</v>
      </c>
      <c r="L26" t="str">
        <f t="shared" si="1"/>
        <v>Wednesday</v>
      </c>
    </row>
    <row r="27" spans="1:12" x14ac:dyDescent="0.35">
      <c r="A27" s="1">
        <v>42383.686805555553</v>
      </c>
      <c r="B27" s="1">
        <v>42383.711805555555</v>
      </c>
      <c r="C27" t="s">
        <v>7</v>
      </c>
      <c r="D27" t="s">
        <v>33</v>
      </c>
      <c r="E27" t="s">
        <v>33</v>
      </c>
      <c r="F27">
        <v>21.9</v>
      </c>
      <c r="G27" t="s">
        <v>13</v>
      </c>
      <c r="J27">
        <f>HOUR(Table1[[#This Row],[START_DATE]])</f>
        <v>16</v>
      </c>
      <c r="K27" s="2">
        <f t="shared" si="0"/>
        <v>42383</v>
      </c>
      <c r="L27" t="str">
        <f t="shared" si="1"/>
        <v>Thursday</v>
      </c>
    </row>
    <row r="28" spans="1:12" x14ac:dyDescent="0.35">
      <c r="A28" s="1">
        <v>42383.902083333334</v>
      </c>
      <c r="B28" s="1">
        <v>42383.90625</v>
      </c>
      <c r="C28" t="s">
        <v>7</v>
      </c>
      <c r="D28" t="s">
        <v>34</v>
      </c>
      <c r="E28" t="s">
        <v>35</v>
      </c>
      <c r="F28">
        <v>3.9</v>
      </c>
      <c r="G28" t="s">
        <v>10</v>
      </c>
      <c r="J28">
        <f>HOUR(Table1[[#This Row],[START_DATE]])</f>
        <v>21</v>
      </c>
      <c r="K28" s="2">
        <f t="shared" si="0"/>
        <v>42383</v>
      </c>
      <c r="L28" t="str">
        <f t="shared" si="1"/>
        <v>Thursday</v>
      </c>
    </row>
    <row r="29" spans="1:12" x14ac:dyDescent="0.35">
      <c r="A29" s="1">
        <v>42384.02847222222</v>
      </c>
      <c r="B29" s="1">
        <v>42384.042361111111</v>
      </c>
      <c r="C29" t="s">
        <v>7</v>
      </c>
      <c r="D29" t="s">
        <v>16</v>
      </c>
      <c r="E29" t="s">
        <v>15</v>
      </c>
      <c r="F29">
        <v>8</v>
      </c>
      <c r="G29" t="s">
        <v>10</v>
      </c>
      <c r="J29">
        <f>HOUR(Table1[[#This Row],[START_DATE]])</f>
        <v>0</v>
      </c>
      <c r="K29" s="2">
        <f t="shared" si="0"/>
        <v>42384</v>
      </c>
      <c r="L29" t="str">
        <f t="shared" si="1"/>
        <v>Friday</v>
      </c>
    </row>
    <row r="30" spans="1:12" x14ac:dyDescent="0.35">
      <c r="A30" s="1">
        <v>42384.488194444442</v>
      </c>
      <c r="B30" s="1">
        <v>42384.502083333333</v>
      </c>
      <c r="C30" t="s">
        <v>7</v>
      </c>
      <c r="D30" t="s">
        <v>15</v>
      </c>
      <c r="E30" t="s">
        <v>36</v>
      </c>
      <c r="F30">
        <v>10.4</v>
      </c>
      <c r="G30" t="s">
        <v>9</v>
      </c>
      <c r="J30">
        <f>HOUR(Table1[[#This Row],[START_DATE]])</f>
        <v>11</v>
      </c>
      <c r="K30" s="2">
        <f t="shared" si="0"/>
        <v>42384</v>
      </c>
      <c r="L30" t="str">
        <f t="shared" si="1"/>
        <v>Friday</v>
      </c>
    </row>
    <row r="31" spans="1:12" x14ac:dyDescent="0.35">
      <c r="A31" s="1">
        <v>42384.55972222222</v>
      </c>
      <c r="B31" s="1">
        <v>42384.572222222225</v>
      </c>
      <c r="C31" t="s">
        <v>7</v>
      </c>
      <c r="D31" t="s">
        <v>36</v>
      </c>
      <c r="E31" t="s">
        <v>15</v>
      </c>
      <c r="F31">
        <v>10.4</v>
      </c>
      <c r="G31" t="s">
        <v>9</v>
      </c>
      <c r="J31">
        <f>HOUR(Table1[[#This Row],[START_DATE]])</f>
        <v>13</v>
      </c>
      <c r="K31" s="2">
        <f t="shared" si="0"/>
        <v>42384</v>
      </c>
      <c r="L31" t="str">
        <f t="shared" si="1"/>
        <v>Friday</v>
      </c>
    </row>
    <row r="32" spans="1:12" x14ac:dyDescent="0.35">
      <c r="A32" s="1">
        <v>42387.621527777781</v>
      </c>
      <c r="B32" s="1">
        <v>42387.629166666666</v>
      </c>
      <c r="C32" t="s">
        <v>7</v>
      </c>
      <c r="D32" t="s">
        <v>15</v>
      </c>
      <c r="E32" t="s">
        <v>15</v>
      </c>
      <c r="F32">
        <v>4.8</v>
      </c>
      <c r="G32" t="s">
        <v>9</v>
      </c>
      <c r="J32">
        <f>HOUR(Table1[[#This Row],[START_DATE]])</f>
        <v>14</v>
      </c>
      <c r="K32" s="2">
        <f t="shared" si="0"/>
        <v>42387</v>
      </c>
      <c r="L32" t="str">
        <f t="shared" si="1"/>
        <v>Monday</v>
      </c>
    </row>
    <row r="33" spans="1:12" x14ac:dyDescent="0.35">
      <c r="A33" s="1">
        <v>42387.675694444442</v>
      </c>
      <c r="B33" s="1">
        <v>42387.683333333334</v>
      </c>
      <c r="C33" t="s">
        <v>7</v>
      </c>
      <c r="D33" t="s">
        <v>37</v>
      </c>
      <c r="E33" t="s">
        <v>38</v>
      </c>
      <c r="F33">
        <v>4.7</v>
      </c>
      <c r="G33" t="s">
        <v>9</v>
      </c>
      <c r="J33">
        <f>HOUR(Table1[[#This Row],[START_DATE]])</f>
        <v>16</v>
      </c>
      <c r="K33" s="2">
        <f t="shared" si="0"/>
        <v>42387</v>
      </c>
      <c r="L33" t="str">
        <f t="shared" si="1"/>
        <v>Monday</v>
      </c>
    </row>
    <row r="34" spans="1:12" x14ac:dyDescent="0.35">
      <c r="A34" s="1">
        <v>42388.381249999999</v>
      </c>
      <c r="B34" s="1">
        <v>42388.390972222223</v>
      </c>
      <c r="C34" t="s">
        <v>7</v>
      </c>
      <c r="D34" t="s">
        <v>38</v>
      </c>
      <c r="E34" t="s">
        <v>39</v>
      </c>
      <c r="F34">
        <v>7.2</v>
      </c>
      <c r="J34">
        <f>HOUR(Table1[[#This Row],[START_DATE]])</f>
        <v>9</v>
      </c>
      <c r="K34" s="2">
        <f t="shared" si="0"/>
        <v>42388</v>
      </c>
      <c r="L34" t="str">
        <f t="shared" si="1"/>
        <v>Tuesday</v>
      </c>
    </row>
    <row r="35" spans="1:12" x14ac:dyDescent="0.35">
      <c r="A35" s="1">
        <v>42388.454861111109</v>
      </c>
      <c r="B35" s="1">
        <v>42388.464583333334</v>
      </c>
      <c r="C35" t="s">
        <v>7</v>
      </c>
      <c r="D35" t="s">
        <v>39</v>
      </c>
      <c r="E35" t="s">
        <v>38</v>
      </c>
      <c r="F35">
        <v>7.6</v>
      </c>
      <c r="G35" t="s">
        <v>24</v>
      </c>
      <c r="J35">
        <f>HOUR(Table1[[#This Row],[START_DATE]])</f>
        <v>10</v>
      </c>
      <c r="K35" s="2">
        <f t="shared" si="0"/>
        <v>42388</v>
      </c>
      <c r="L35" t="str">
        <f t="shared" si="1"/>
        <v>Tuesday</v>
      </c>
    </row>
    <row r="36" spans="1:12" x14ac:dyDescent="0.35">
      <c r="A36" s="1">
        <v>42389.441666666666</v>
      </c>
      <c r="B36" s="1">
        <v>42389.46597222222</v>
      </c>
      <c r="C36" t="s">
        <v>7</v>
      </c>
      <c r="D36" t="s">
        <v>15</v>
      </c>
      <c r="E36" t="s">
        <v>40</v>
      </c>
      <c r="F36">
        <v>17.100000000000001</v>
      </c>
      <c r="G36" t="s">
        <v>11</v>
      </c>
      <c r="J36">
        <f>HOUR(Table1[[#This Row],[START_DATE]])</f>
        <v>10</v>
      </c>
      <c r="K36" s="2">
        <f t="shared" si="0"/>
        <v>42389</v>
      </c>
      <c r="L36" t="str">
        <f t="shared" si="1"/>
        <v>Wednesday</v>
      </c>
    </row>
    <row r="37" spans="1:12" x14ac:dyDescent="0.35">
      <c r="A37" s="1">
        <v>42389.491666666669</v>
      </c>
      <c r="B37" s="1">
        <v>42389.513194444444</v>
      </c>
      <c r="C37" t="s">
        <v>7</v>
      </c>
      <c r="D37" t="s">
        <v>41</v>
      </c>
      <c r="E37" t="s">
        <v>42</v>
      </c>
      <c r="F37">
        <v>15.1</v>
      </c>
      <c r="G37" t="s">
        <v>11</v>
      </c>
      <c r="J37">
        <f>HOUR(Table1[[#This Row],[START_DATE]])</f>
        <v>11</v>
      </c>
      <c r="K37" s="2">
        <f t="shared" si="0"/>
        <v>42389</v>
      </c>
      <c r="L37" t="str">
        <f t="shared" si="1"/>
        <v>Wednesday</v>
      </c>
    </row>
    <row r="38" spans="1:12" x14ac:dyDescent="0.35">
      <c r="A38" s="1">
        <v>42389.559027777781</v>
      </c>
      <c r="B38" s="1">
        <v>42389.59652777778</v>
      </c>
      <c r="C38" t="s">
        <v>7</v>
      </c>
      <c r="D38" t="s">
        <v>40</v>
      </c>
      <c r="E38" t="s">
        <v>15</v>
      </c>
      <c r="F38">
        <v>40.200000000000003</v>
      </c>
      <c r="G38" t="s">
        <v>13</v>
      </c>
      <c r="J38">
        <f>HOUR(Table1[[#This Row],[START_DATE]])</f>
        <v>13</v>
      </c>
      <c r="K38" s="2">
        <f t="shared" si="0"/>
        <v>42389</v>
      </c>
      <c r="L38" t="str">
        <f t="shared" si="1"/>
        <v>Wednesday</v>
      </c>
    </row>
    <row r="39" spans="1:12" x14ac:dyDescent="0.35">
      <c r="A39" s="1">
        <v>42390.600694444445</v>
      </c>
      <c r="B39" s="1">
        <v>42390.603472222225</v>
      </c>
      <c r="C39" t="s">
        <v>7</v>
      </c>
      <c r="D39" t="s">
        <v>15</v>
      </c>
      <c r="E39" t="s">
        <v>15</v>
      </c>
      <c r="F39">
        <v>1.6</v>
      </c>
      <c r="G39" t="s">
        <v>10</v>
      </c>
      <c r="J39">
        <f>HOUR(Table1[[#This Row],[START_DATE]])</f>
        <v>14</v>
      </c>
      <c r="K39" s="2">
        <f t="shared" si="0"/>
        <v>42390</v>
      </c>
      <c r="L39" t="str">
        <f t="shared" si="1"/>
        <v>Thursday</v>
      </c>
    </row>
    <row r="40" spans="1:12" x14ac:dyDescent="0.35">
      <c r="A40" s="1">
        <v>42390.613194444442</v>
      </c>
      <c r="B40" s="1">
        <v>42390.618750000001</v>
      </c>
      <c r="C40" t="s">
        <v>7</v>
      </c>
      <c r="D40" t="s">
        <v>15</v>
      </c>
      <c r="E40" t="s">
        <v>15</v>
      </c>
      <c r="F40">
        <v>2.4</v>
      </c>
      <c r="G40" t="s">
        <v>9</v>
      </c>
      <c r="J40">
        <f>HOUR(Table1[[#This Row],[START_DATE]])</f>
        <v>14</v>
      </c>
      <c r="K40" s="2">
        <f t="shared" si="0"/>
        <v>42390</v>
      </c>
      <c r="L40" t="str">
        <f t="shared" si="1"/>
        <v>Thursday</v>
      </c>
    </row>
    <row r="41" spans="1:12" x14ac:dyDescent="0.35">
      <c r="A41" s="1">
        <v>42390.667361111111</v>
      </c>
      <c r="B41" s="1">
        <v>42390.67083333333</v>
      </c>
      <c r="C41" t="s">
        <v>7</v>
      </c>
      <c r="D41" t="s">
        <v>15</v>
      </c>
      <c r="E41" t="s">
        <v>15</v>
      </c>
      <c r="F41">
        <v>1</v>
      </c>
      <c r="G41" t="s">
        <v>9</v>
      </c>
      <c r="J41">
        <f>HOUR(Table1[[#This Row],[START_DATE]])</f>
        <v>16</v>
      </c>
      <c r="K41" s="2">
        <f t="shared" si="0"/>
        <v>42390</v>
      </c>
      <c r="L41" t="str">
        <f t="shared" si="1"/>
        <v>Thursday</v>
      </c>
    </row>
    <row r="42" spans="1:12" x14ac:dyDescent="0.35">
      <c r="A42" s="1">
        <v>42395.445138888892</v>
      </c>
      <c r="B42" s="1">
        <v>42395.451388888891</v>
      </c>
      <c r="C42" t="s">
        <v>7</v>
      </c>
      <c r="D42" t="s">
        <v>38</v>
      </c>
      <c r="E42" t="s">
        <v>43</v>
      </c>
      <c r="F42">
        <v>2</v>
      </c>
      <c r="G42" t="s">
        <v>9</v>
      </c>
      <c r="J42">
        <f>HOUR(Table1[[#This Row],[START_DATE]])</f>
        <v>10</v>
      </c>
      <c r="K42" s="2">
        <f t="shared" si="0"/>
        <v>42395</v>
      </c>
      <c r="L42" t="str">
        <f t="shared" si="1"/>
        <v>Tuesday</v>
      </c>
    </row>
    <row r="43" spans="1:12" x14ac:dyDescent="0.35">
      <c r="A43" s="1">
        <v>42395.522916666669</v>
      </c>
      <c r="B43" s="1">
        <v>42395.52847222222</v>
      </c>
      <c r="C43" t="s">
        <v>7</v>
      </c>
      <c r="D43" t="s">
        <v>43</v>
      </c>
      <c r="E43" t="s">
        <v>38</v>
      </c>
      <c r="F43">
        <v>2.2999999999999998</v>
      </c>
      <c r="G43" t="s">
        <v>10</v>
      </c>
      <c r="J43">
        <f>HOUR(Table1[[#This Row],[START_DATE]])</f>
        <v>12</v>
      </c>
      <c r="K43" s="2">
        <f t="shared" si="0"/>
        <v>42395</v>
      </c>
      <c r="L43" t="str">
        <f t="shared" si="1"/>
        <v>Tuesday</v>
      </c>
    </row>
    <row r="44" spans="1:12" x14ac:dyDescent="0.35">
      <c r="A44" s="1">
        <v>42395.683333333334</v>
      </c>
      <c r="B44" s="1">
        <v>42395.688888888886</v>
      </c>
      <c r="C44" t="s">
        <v>7</v>
      </c>
      <c r="D44" t="s">
        <v>38</v>
      </c>
      <c r="E44" t="s">
        <v>44</v>
      </c>
      <c r="F44">
        <v>1.9</v>
      </c>
      <c r="G44" t="s">
        <v>10</v>
      </c>
      <c r="J44">
        <f>HOUR(Table1[[#This Row],[START_DATE]])</f>
        <v>16</v>
      </c>
      <c r="K44" s="2">
        <f t="shared" si="0"/>
        <v>42395</v>
      </c>
      <c r="L44" t="str">
        <f t="shared" si="1"/>
        <v>Tuesday</v>
      </c>
    </row>
    <row r="45" spans="1:12" x14ac:dyDescent="0.35">
      <c r="A45" s="1">
        <v>42395.720138888886</v>
      </c>
      <c r="B45" s="1">
        <v>42395.723611111112</v>
      </c>
      <c r="C45" t="s">
        <v>7</v>
      </c>
      <c r="D45" t="s">
        <v>15</v>
      </c>
      <c r="E45" t="s">
        <v>15</v>
      </c>
      <c r="F45">
        <v>1.4</v>
      </c>
      <c r="G45" t="s">
        <v>10</v>
      </c>
      <c r="J45">
        <f>HOUR(Table1[[#This Row],[START_DATE]])</f>
        <v>17</v>
      </c>
      <c r="K45" s="2">
        <f t="shared" si="0"/>
        <v>42395</v>
      </c>
      <c r="L45" t="str">
        <f t="shared" si="1"/>
        <v>Tuesday</v>
      </c>
    </row>
    <row r="46" spans="1:12" x14ac:dyDescent="0.35">
      <c r="A46" s="1">
        <v>42395.727083333331</v>
      </c>
      <c r="B46" s="1">
        <v>42395.728472222225</v>
      </c>
      <c r="C46" t="s">
        <v>7</v>
      </c>
      <c r="D46" t="s">
        <v>15</v>
      </c>
      <c r="E46" t="s">
        <v>15</v>
      </c>
      <c r="F46">
        <v>0.5</v>
      </c>
      <c r="G46" t="s">
        <v>10</v>
      </c>
      <c r="J46">
        <f>HOUR(Table1[[#This Row],[START_DATE]])</f>
        <v>17</v>
      </c>
      <c r="K46" s="2">
        <f t="shared" si="0"/>
        <v>42395</v>
      </c>
      <c r="L46" t="str">
        <f t="shared" si="1"/>
        <v>Tuesday</v>
      </c>
    </row>
    <row r="47" spans="1:12" x14ac:dyDescent="0.35">
      <c r="A47" s="1">
        <v>42396.39166666667</v>
      </c>
      <c r="B47" s="1">
        <v>42396.396527777775</v>
      </c>
      <c r="C47" t="s">
        <v>7</v>
      </c>
      <c r="D47" t="s">
        <v>15</v>
      </c>
      <c r="E47" t="s">
        <v>15</v>
      </c>
      <c r="F47">
        <v>1.8</v>
      </c>
      <c r="G47" t="s">
        <v>11</v>
      </c>
      <c r="J47">
        <f>HOUR(Table1[[#This Row],[START_DATE]])</f>
        <v>9</v>
      </c>
      <c r="K47" s="2">
        <f t="shared" si="0"/>
        <v>42396</v>
      </c>
      <c r="L47" t="str">
        <f t="shared" si="1"/>
        <v>Wednesday</v>
      </c>
    </row>
    <row r="48" spans="1:12" x14ac:dyDescent="0.35">
      <c r="A48" s="1">
        <v>42396.429861111108</v>
      </c>
      <c r="B48" s="1">
        <v>42396.45</v>
      </c>
      <c r="C48" t="s">
        <v>7</v>
      </c>
      <c r="D48" t="s">
        <v>15</v>
      </c>
      <c r="E48" t="s">
        <v>40</v>
      </c>
      <c r="F48">
        <v>18.7</v>
      </c>
      <c r="G48" t="s">
        <v>13</v>
      </c>
      <c r="J48">
        <f>HOUR(Table1[[#This Row],[START_DATE]])</f>
        <v>10</v>
      </c>
      <c r="K48" s="2">
        <f t="shared" si="0"/>
        <v>42396</v>
      </c>
      <c r="L48" t="str">
        <f t="shared" si="1"/>
        <v>Wednesday</v>
      </c>
    </row>
    <row r="49" spans="1:12" x14ac:dyDescent="0.35">
      <c r="A49" s="1">
        <v>42396.523611111108</v>
      </c>
      <c r="B49" s="1">
        <v>42396.530555555553</v>
      </c>
      <c r="C49" t="s">
        <v>7</v>
      </c>
      <c r="D49" t="s">
        <v>45</v>
      </c>
      <c r="E49" t="s">
        <v>46</v>
      </c>
      <c r="F49">
        <v>3.4</v>
      </c>
      <c r="G49" t="s">
        <v>13</v>
      </c>
      <c r="J49">
        <f>HOUR(Table1[[#This Row],[START_DATE]])</f>
        <v>12</v>
      </c>
      <c r="K49" s="2">
        <f t="shared" si="0"/>
        <v>42396</v>
      </c>
      <c r="L49" t="str">
        <f t="shared" si="1"/>
        <v>Wednesday</v>
      </c>
    </row>
    <row r="50" spans="1:12" x14ac:dyDescent="0.35">
      <c r="A50" s="1">
        <v>42396.586805555555</v>
      </c>
      <c r="B50" s="1">
        <v>42396.592361111114</v>
      </c>
      <c r="C50" t="s">
        <v>7</v>
      </c>
      <c r="D50" t="s">
        <v>40</v>
      </c>
      <c r="E50" t="s">
        <v>40</v>
      </c>
      <c r="F50">
        <v>2.7</v>
      </c>
      <c r="G50" t="s">
        <v>13</v>
      </c>
      <c r="J50">
        <f>HOUR(Table1[[#This Row],[START_DATE]])</f>
        <v>14</v>
      </c>
      <c r="K50" s="2">
        <f t="shared" si="0"/>
        <v>42396</v>
      </c>
      <c r="L50" t="str">
        <f t="shared" si="1"/>
        <v>Wednesday</v>
      </c>
    </row>
    <row r="51" spans="1:12" x14ac:dyDescent="0.35">
      <c r="A51" s="1">
        <v>42396.615277777775</v>
      </c>
      <c r="B51" s="1">
        <v>42396.630555555559</v>
      </c>
      <c r="C51" t="s">
        <v>7</v>
      </c>
      <c r="D51" t="s">
        <v>40</v>
      </c>
      <c r="E51" t="s">
        <v>15</v>
      </c>
      <c r="F51">
        <v>12.9</v>
      </c>
      <c r="G51" t="s">
        <v>13</v>
      </c>
      <c r="J51">
        <f>HOUR(Table1[[#This Row],[START_DATE]])</f>
        <v>14</v>
      </c>
      <c r="K51" s="2">
        <f t="shared" si="0"/>
        <v>42396</v>
      </c>
      <c r="L51" t="str">
        <f t="shared" si="1"/>
        <v>Wednesday</v>
      </c>
    </row>
    <row r="52" spans="1:12" x14ac:dyDescent="0.35">
      <c r="A52" s="1">
        <v>42397.519444444442</v>
      </c>
      <c r="B52" s="1">
        <v>42397.541666666664</v>
      </c>
      <c r="C52" t="s">
        <v>7</v>
      </c>
      <c r="D52" t="s">
        <v>15</v>
      </c>
      <c r="E52" t="s">
        <v>40</v>
      </c>
      <c r="F52">
        <v>19</v>
      </c>
      <c r="G52" t="s">
        <v>24</v>
      </c>
      <c r="J52">
        <f>HOUR(Table1[[#This Row],[START_DATE]])</f>
        <v>12</v>
      </c>
      <c r="K52" s="2">
        <f t="shared" si="0"/>
        <v>42397</v>
      </c>
      <c r="L52" t="str">
        <f t="shared" si="1"/>
        <v>Thursday</v>
      </c>
    </row>
    <row r="53" spans="1:12" x14ac:dyDescent="0.35">
      <c r="A53" s="1">
        <v>42397.632638888892</v>
      </c>
      <c r="B53" s="1">
        <v>42397.646527777775</v>
      </c>
      <c r="C53" t="s">
        <v>7</v>
      </c>
      <c r="D53" t="s">
        <v>46</v>
      </c>
      <c r="E53" t="s">
        <v>47</v>
      </c>
      <c r="F53">
        <v>14.7</v>
      </c>
      <c r="G53" t="s">
        <v>11</v>
      </c>
      <c r="J53">
        <f>HOUR(Table1[[#This Row],[START_DATE]])</f>
        <v>15</v>
      </c>
      <c r="K53" s="2">
        <f t="shared" si="0"/>
        <v>42397</v>
      </c>
      <c r="L53" t="str">
        <f t="shared" si="1"/>
        <v>Thursday</v>
      </c>
    </row>
    <row r="54" spans="1:12" x14ac:dyDescent="0.35">
      <c r="A54" s="1">
        <v>42397.681250000001</v>
      </c>
      <c r="B54" s="1">
        <v>42397.70208333333</v>
      </c>
      <c r="C54" t="s">
        <v>7</v>
      </c>
      <c r="D54" t="s">
        <v>40</v>
      </c>
      <c r="E54" t="s">
        <v>15</v>
      </c>
      <c r="F54">
        <v>15.7</v>
      </c>
      <c r="G54" t="s">
        <v>11</v>
      </c>
      <c r="J54">
        <f>HOUR(Table1[[#This Row],[START_DATE]])</f>
        <v>16</v>
      </c>
      <c r="K54" s="2">
        <f t="shared" si="0"/>
        <v>42397</v>
      </c>
      <c r="L54" t="str">
        <f t="shared" si="1"/>
        <v>Thursday</v>
      </c>
    </row>
    <row r="55" spans="1:12" x14ac:dyDescent="0.35">
      <c r="A55" s="1">
        <v>42398.396527777775</v>
      </c>
      <c r="B55" s="1">
        <v>42398.40625</v>
      </c>
      <c r="C55" t="s">
        <v>7</v>
      </c>
      <c r="D55" t="s">
        <v>15</v>
      </c>
      <c r="E55" t="s">
        <v>15</v>
      </c>
      <c r="F55">
        <v>4.5999999999999996</v>
      </c>
      <c r="G55" t="s">
        <v>13</v>
      </c>
      <c r="J55">
        <f>HOUR(Table1[[#This Row],[START_DATE]])</f>
        <v>9</v>
      </c>
      <c r="K55" s="2">
        <f t="shared" si="0"/>
        <v>42398</v>
      </c>
      <c r="L55" t="str">
        <f t="shared" si="1"/>
        <v>Friday</v>
      </c>
    </row>
    <row r="56" spans="1:12" x14ac:dyDescent="0.35">
      <c r="A56" s="1">
        <v>42398.455555555556</v>
      </c>
      <c r="B56" s="1">
        <v>42398.463194444441</v>
      </c>
      <c r="C56" t="s">
        <v>7</v>
      </c>
      <c r="D56" t="s">
        <v>15</v>
      </c>
      <c r="E56" t="s">
        <v>15</v>
      </c>
      <c r="F56">
        <v>5.2</v>
      </c>
      <c r="G56" t="s">
        <v>11</v>
      </c>
      <c r="J56">
        <f>HOUR(Table1[[#This Row],[START_DATE]])</f>
        <v>10</v>
      </c>
      <c r="K56" s="2">
        <f t="shared" si="0"/>
        <v>42398</v>
      </c>
      <c r="L56" t="str">
        <f t="shared" si="1"/>
        <v>Friday</v>
      </c>
    </row>
    <row r="57" spans="1:12" x14ac:dyDescent="0.35">
      <c r="A57" s="1">
        <v>42398.488194444442</v>
      </c>
      <c r="B57" s="1">
        <v>42398.502083333333</v>
      </c>
      <c r="C57" t="s">
        <v>7</v>
      </c>
      <c r="D57" t="s">
        <v>15</v>
      </c>
      <c r="E57" t="s">
        <v>36</v>
      </c>
      <c r="F57">
        <v>10.4</v>
      </c>
      <c r="G57" t="s">
        <v>11</v>
      </c>
      <c r="J57">
        <f>HOUR(Table1[[#This Row],[START_DATE]])</f>
        <v>11</v>
      </c>
      <c r="K57" s="2">
        <f t="shared" si="0"/>
        <v>42398</v>
      </c>
      <c r="L57" t="str">
        <f t="shared" si="1"/>
        <v>Friday</v>
      </c>
    </row>
    <row r="58" spans="1:12" x14ac:dyDescent="0.35">
      <c r="A58" s="1">
        <v>42398.558333333334</v>
      </c>
      <c r="B58" s="1">
        <v>42398.574305555558</v>
      </c>
      <c r="C58" t="s">
        <v>7</v>
      </c>
      <c r="D58" t="s">
        <v>36</v>
      </c>
      <c r="E58" t="s">
        <v>15</v>
      </c>
      <c r="F58">
        <v>10.1</v>
      </c>
      <c r="G58" t="s">
        <v>11</v>
      </c>
      <c r="J58">
        <f>HOUR(Table1[[#This Row],[START_DATE]])</f>
        <v>13</v>
      </c>
      <c r="K58" s="2">
        <f t="shared" si="0"/>
        <v>42398</v>
      </c>
      <c r="L58" t="str">
        <f t="shared" si="1"/>
        <v>Friday</v>
      </c>
    </row>
    <row r="59" spans="1:12" x14ac:dyDescent="0.35">
      <c r="A59" s="1">
        <v>42398.771527777775</v>
      </c>
      <c r="B59" s="1">
        <v>42398.786111111112</v>
      </c>
      <c r="C59" t="s">
        <v>7</v>
      </c>
      <c r="D59" t="s">
        <v>15</v>
      </c>
      <c r="E59" t="s">
        <v>48</v>
      </c>
      <c r="F59">
        <v>5.8</v>
      </c>
      <c r="G59" t="s">
        <v>10</v>
      </c>
      <c r="J59">
        <f>HOUR(Table1[[#This Row],[START_DATE]])</f>
        <v>18</v>
      </c>
      <c r="K59" s="2">
        <f t="shared" si="0"/>
        <v>42398</v>
      </c>
      <c r="L59" t="str">
        <f t="shared" si="1"/>
        <v>Friday</v>
      </c>
    </row>
    <row r="60" spans="1:12" x14ac:dyDescent="0.35">
      <c r="A60" s="1">
        <v>42398.88958333333</v>
      </c>
      <c r="B60" s="1">
        <v>42398.902777777781</v>
      </c>
      <c r="C60" t="s">
        <v>7</v>
      </c>
      <c r="D60" t="s">
        <v>48</v>
      </c>
      <c r="E60" t="s">
        <v>15</v>
      </c>
      <c r="F60">
        <v>5.5</v>
      </c>
      <c r="G60" t="s">
        <v>9</v>
      </c>
      <c r="J60">
        <f>HOUR(Table1[[#This Row],[START_DATE]])</f>
        <v>21</v>
      </c>
      <c r="K60" s="2">
        <f t="shared" si="0"/>
        <v>42398</v>
      </c>
      <c r="L60" t="str">
        <f t="shared" si="1"/>
        <v>Friday</v>
      </c>
    </row>
    <row r="61" spans="1:12" x14ac:dyDescent="0.35">
      <c r="A61" s="1">
        <v>42399.681250000001</v>
      </c>
      <c r="B61" s="1">
        <v>42399.689583333333</v>
      </c>
      <c r="C61" t="s">
        <v>7</v>
      </c>
      <c r="D61" t="s">
        <v>15</v>
      </c>
      <c r="E61" t="s">
        <v>48</v>
      </c>
      <c r="F61">
        <v>5.7</v>
      </c>
      <c r="G61" t="s">
        <v>10</v>
      </c>
      <c r="J61">
        <f>HOUR(Table1[[#This Row],[START_DATE]])</f>
        <v>16</v>
      </c>
      <c r="K61" s="2">
        <f t="shared" si="0"/>
        <v>42399</v>
      </c>
      <c r="L61" t="str">
        <f t="shared" si="1"/>
        <v>Saturday</v>
      </c>
    </row>
    <row r="62" spans="1:12" x14ac:dyDescent="0.35">
      <c r="A62" s="1">
        <v>42399.756249999999</v>
      </c>
      <c r="B62" s="1">
        <v>42399.76666666667</v>
      </c>
      <c r="C62" t="s">
        <v>7</v>
      </c>
      <c r="D62" t="s">
        <v>48</v>
      </c>
      <c r="E62" t="s">
        <v>15</v>
      </c>
      <c r="F62">
        <v>5.7</v>
      </c>
      <c r="G62" t="s">
        <v>13</v>
      </c>
      <c r="J62">
        <f>HOUR(Table1[[#This Row],[START_DATE]])</f>
        <v>18</v>
      </c>
      <c r="K62" s="2">
        <f t="shared" si="0"/>
        <v>42399</v>
      </c>
      <c r="L62" t="str">
        <f t="shared" si="1"/>
        <v>Saturday</v>
      </c>
    </row>
    <row r="63" spans="1:12" x14ac:dyDescent="0.35">
      <c r="A63" s="1">
        <v>42401.440972222219</v>
      </c>
      <c r="B63" s="1">
        <v>42401.46875</v>
      </c>
      <c r="C63" t="s">
        <v>7</v>
      </c>
      <c r="D63" t="s">
        <v>15</v>
      </c>
      <c r="E63" t="s">
        <v>49</v>
      </c>
      <c r="F63">
        <v>19.399999999999999</v>
      </c>
      <c r="G63" t="s">
        <v>13</v>
      </c>
      <c r="J63">
        <f>HOUR(Table1[[#This Row],[START_DATE]])</f>
        <v>10</v>
      </c>
      <c r="K63" s="2">
        <f t="shared" si="0"/>
        <v>42401</v>
      </c>
      <c r="L63" t="str">
        <f t="shared" si="1"/>
        <v>Monday</v>
      </c>
    </row>
    <row r="64" spans="1:12" x14ac:dyDescent="0.35">
      <c r="A64" s="1">
        <v>42401.506944444445</v>
      </c>
      <c r="B64" s="1">
        <v>42401.529861111114</v>
      </c>
      <c r="C64" t="s">
        <v>7</v>
      </c>
      <c r="D64" t="s">
        <v>49</v>
      </c>
      <c r="E64" t="s">
        <v>15</v>
      </c>
      <c r="F64">
        <v>23.3</v>
      </c>
      <c r="G64" t="s">
        <v>13</v>
      </c>
      <c r="J64">
        <f>HOUR(Table1[[#This Row],[START_DATE]])</f>
        <v>12</v>
      </c>
      <c r="K64" s="2">
        <f t="shared" si="0"/>
        <v>42401</v>
      </c>
      <c r="L64" t="str">
        <f t="shared" si="1"/>
        <v>Monday</v>
      </c>
    </row>
    <row r="65" spans="1:12" x14ac:dyDescent="0.35">
      <c r="A65" s="1">
        <v>42401.538888888892</v>
      </c>
      <c r="B65" s="1">
        <v>42401.546527777777</v>
      </c>
      <c r="C65" t="s">
        <v>7</v>
      </c>
      <c r="D65" t="s">
        <v>50</v>
      </c>
      <c r="E65" t="s">
        <v>38</v>
      </c>
      <c r="F65">
        <v>3.9</v>
      </c>
      <c r="G65" t="s">
        <v>9</v>
      </c>
      <c r="J65">
        <f>HOUR(Table1[[#This Row],[START_DATE]])</f>
        <v>12</v>
      </c>
      <c r="K65" s="2">
        <f t="shared" si="0"/>
        <v>42401</v>
      </c>
      <c r="L65" t="str">
        <f t="shared" si="1"/>
        <v>Monday</v>
      </c>
    </row>
    <row r="66" spans="1:12" x14ac:dyDescent="0.35">
      <c r="A66" s="1">
        <v>42402.544444444444</v>
      </c>
      <c r="B66" s="1">
        <v>42402.557638888888</v>
      </c>
      <c r="C66" t="s">
        <v>7</v>
      </c>
      <c r="D66" t="s">
        <v>38</v>
      </c>
      <c r="E66" t="s">
        <v>51</v>
      </c>
      <c r="F66">
        <v>8.3000000000000007</v>
      </c>
      <c r="G66" t="s">
        <v>11</v>
      </c>
      <c r="J66">
        <f>HOUR(Table1[[#This Row],[START_DATE]])</f>
        <v>13</v>
      </c>
      <c r="K66" s="2">
        <f t="shared" si="0"/>
        <v>42402</v>
      </c>
      <c r="L66" t="str">
        <f t="shared" si="1"/>
        <v>Tuesday</v>
      </c>
    </row>
    <row r="67" spans="1:12" x14ac:dyDescent="0.35">
      <c r="A67" s="1">
        <v>42402.57708333333</v>
      </c>
      <c r="B67" s="1">
        <v>42402.587500000001</v>
      </c>
      <c r="C67" t="s">
        <v>7</v>
      </c>
      <c r="D67" t="s">
        <v>15</v>
      </c>
      <c r="E67" t="s">
        <v>15</v>
      </c>
      <c r="F67">
        <v>6</v>
      </c>
      <c r="G67" t="s">
        <v>10</v>
      </c>
      <c r="J67">
        <f>HOUR(Table1[[#This Row],[START_DATE]])</f>
        <v>13</v>
      </c>
      <c r="K67" s="2">
        <f t="shared" ref="K67:K130" si="2">DATE(YEAR(A67), MONTH(A67), DAY(A67))</f>
        <v>42402</v>
      </c>
      <c r="L67" t="str">
        <f t="shared" ref="L67:L130" si="3">TEXT(A67,"dddd")</f>
        <v>Tuesday</v>
      </c>
    </row>
    <row r="68" spans="1:12" x14ac:dyDescent="0.35">
      <c r="A68" s="1">
        <v>42402.609722222223</v>
      </c>
      <c r="B68" s="1">
        <v>42402.612500000003</v>
      </c>
      <c r="C68" t="s">
        <v>7</v>
      </c>
      <c r="D68" t="s">
        <v>15</v>
      </c>
      <c r="E68" t="s">
        <v>15</v>
      </c>
      <c r="F68">
        <v>1.6</v>
      </c>
      <c r="G68" t="s">
        <v>10</v>
      </c>
      <c r="J68">
        <f>HOUR(Table1[[#This Row],[START_DATE]])</f>
        <v>14</v>
      </c>
      <c r="K68" s="2">
        <f t="shared" si="2"/>
        <v>42402</v>
      </c>
      <c r="L68" t="str">
        <f t="shared" si="3"/>
        <v>Tuesday</v>
      </c>
    </row>
    <row r="69" spans="1:12" x14ac:dyDescent="0.35">
      <c r="A69" s="1">
        <v>42404.361111111109</v>
      </c>
      <c r="B69" s="1">
        <v>42404.375694444447</v>
      </c>
      <c r="C69" t="s">
        <v>7</v>
      </c>
      <c r="D69" t="s">
        <v>15</v>
      </c>
      <c r="E69" t="s">
        <v>16</v>
      </c>
      <c r="F69">
        <v>5.2</v>
      </c>
      <c r="G69" t="s">
        <v>10</v>
      </c>
      <c r="J69">
        <f>HOUR(Table1[[#This Row],[START_DATE]])</f>
        <v>8</v>
      </c>
      <c r="K69" s="2">
        <f t="shared" si="2"/>
        <v>42404</v>
      </c>
      <c r="L69" t="str">
        <f t="shared" si="3"/>
        <v>Thursday</v>
      </c>
    </row>
    <row r="70" spans="1:12" x14ac:dyDescent="0.35">
      <c r="A70" s="1">
        <v>42404.400694444441</v>
      </c>
      <c r="B70" s="1">
        <v>42404.42291666667</v>
      </c>
      <c r="C70" t="s">
        <v>7</v>
      </c>
      <c r="D70" t="s">
        <v>16</v>
      </c>
      <c r="E70" t="s">
        <v>15</v>
      </c>
      <c r="F70">
        <v>9.6999999999999993</v>
      </c>
      <c r="G70" t="s">
        <v>9</v>
      </c>
      <c r="J70">
        <f>HOUR(Table1[[#This Row],[START_DATE]])</f>
        <v>9</v>
      </c>
      <c r="K70" s="2">
        <f t="shared" si="2"/>
        <v>42404</v>
      </c>
      <c r="L70" t="str">
        <f t="shared" si="3"/>
        <v>Thursday</v>
      </c>
    </row>
    <row r="71" spans="1:12" x14ac:dyDescent="0.35">
      <c r="A71" s="1">
        <v>42404.43472222222</v>
      </c>
      <c r="B71" s="1">
        <v>42404.438888888886</v>
      </c>
      <c r="C71" t="s">
        <v>7</v>
      </c>
      <c r="D71" t="s">
        <v>15</v>
      </c>
      <c r="E71" t="s">
        <v>15</v>
      </c>
      <c r="F71">
        <v>1.6</v>
      </c>
      <c r="G71" t="s">
        <v>9</v>
      </c>
      <c r="J71">
        <f>HOUR(Table1[[#This Row],[START_DATE]])</f>
        <v>10</v>
      </c>
      <c r="K71" s="2">
        <f t="shared" si="2"/>
        <v>42404</v>
      </c>
      <c r="L71" t="str">
        <f t="shared" si="3"/>
        <v>Thursday</v>
      </c>
    </row>
    <row r="72" spans="1:12" x14ac:dyDescent="0.35">
      <c r="A72" s="1">
        <v>42404.665972222225</v>
      </c>
      <c r="B72" s="1">
        <v>42404.668749999997</v>
      </c>
      <c r="C72" t="s">
        <v>7</v>
      </c>
      <c r="D72" t="s">
        <v>15</v>
      </c>
      <c r="E72" t="s">
        <v>15</v>
      </c>
      <c r="F72">
        <v>1.1000000000000001</v>
      </c>
      <c r="G72" t="s">
        <v>9</v>
      </c>
      <c r="J72">
        <f>HOUR(Table1[[#This Row],[START_DATE]])</f>
        <v>15</v>
      </c>
      <c r="K72" s="2">
        <f t="shared" si="2"/>
        <v>42404</v>
      </c>
      <c r="L72" t="str">
        <f t="shared" si="3"/>
        <v>Thursday</v>
      </c>
    </row>
    <row r="73" spans="1:12" x14ac:dyDescent="0.35">
      <c r="A73" s="1">
        <v>42404.690972222219</v>
      </c>
      <c r="B73" s="1">
        <v>42404.693749999999</v>
      </c>
      <c r="C73" t="s">
        <v>7</v>
      </c>
      <c r="D73" t="s">
        <v>15</v>
      </c>
      <c r="E73" t="s">
        <v>15</v>
      </c>
      <c r="F73">
        <v>1.6</v>
      </c>
      <c r="G73" t="s">
        <v>9</v>
      </c>
      <c r="J73">
        <f>HOUR(Table1[[#This Row],[START_DATE]])</f>
        <v>16</v>
      </c>
      <c r="K73" s="2">
        <f t="shared" si="2"/>
        <v>42404</v>
      </c>
      <c r="L73" t="str">
        <f t="shared" si="3"/>
        <v>Thursday</v>
      </c>
    </row>
    <row r="74" spans="1:12" x14ac:dyDescent="0.35">
      <c r="A74" s="1">
        <v>42404.75277777778</v>
      </c>
      <c r="B74" s="1">
        <v>42404.771527777775</v>
      </c>
      <c r="C74" t="s">
        <v>7</v>
      </c>
      <c r="D74" t="s">
        <v>38</v>
      </c>
      <c r="E74" t="s">
        <v>52</v>
      </c>
      <c r="F74">
        <v>9</v>
      </c>
      <c r="G74" t="s">
        <v>11</v>
      </c>
      <c r="J74">
        <f>HOUR(Table1[[#This Row],[START_DATE]])</f>
        <v>18</v>
      </c>
      <c r="K74" s="2">
        <f t="shared" si="2"/>
        <v>42404</v>
      </c>
      <c r="L74" t="str">
        <f t="shared" si="3"/>
        <v>Thursday</v>
      </c>
    </row>
    <row r="75" spans="1:12" x14ac:dyDescent="0.35">
      <c r="A75" s="1">
        <v>42404.85833333333</v>
      </c>
      <c r="B75" s="1">
        <v>42404.871527777781</v>
      </c>
      <c r="C75" t="s">
        <v>7</v>
      </c>
      <c r="D75" t="s">
        <v>15</v>
      </c>
      <c r="E75" t="s">
        <v>15</v>
      </c>
      <c r="F75">
        <v>7.7</v>
      </c>
      <c r="G75" t="s">
        <v>11</v>
      </c>
      <c r="J75">
        <f>HOUR(Table1[[#This Row],[START_DATE]])</f>
        <v>20</v>
      </c>
      <c r="K75" s="2">
        <f t="shared" si="2"/>
        <v>42404</v>
      </c>
      <c r="L75" t="str">
        <f t="shared" si="3"/>
        <v>Thursday</v>
      </c>
    </row>
    <row r="76" spans="1:12" x14ac:dyDescent="0.35">
      <c r="A76" s="1">
        <v>42405.490972222222</v>
      </c>
      <c r="B76" s="1">
        <v>42405.504861111112</v>
      </c>
      <c r="C76" t="s">
        <v>7</v>
      </c>
      <c r="D76" t="s">
        <v>15</v>
      </c>
      <c r="E76" t="s">
        <v>36</v>
      </c>
      <c r="F76">
        <v>10.4</v>
      </c>
      <c r="G76" t="s">
        <v>11</v>
      </c>
      <c r="J76">
        <f>HOUR(Table1[[#This Row],[START_DATE]])</f>
        <v>11</v>
      </c>
      <c r="K76" s="2">
        <f t="shared" si="2"/>
        <v>42405</v>
      </c>
      <c r="L76" t="str">
        <f t="shared" si="3"/>
        <v>Friday</v>
      </c>
    </row>
    <row r="77" spans="1:12" x14ac:dyDescent="0.35">
      <c r="A77" s="1">
        <v>42405.556944444441</v>
      </c>
      <c r="B77" s="1">
        <v>42405.570138888892</v>
      </c>
      <c r="C77" t="s">
        <v>7</v>
      </c>
      <c r="D77" t="s">
        <v>36</v>
      </c>
      <c r="E77" t="s">
        <v>15</v>
      </c>
      <c r="F77">
        <v>10.4</v>
      </c>
      <c r="G77" t="s">
        <v>11</v>
      </c>
      <c r="J77">
        <f>HOUR(Table1[[#This Row],[START_DATE]])</f>
        <v>13</v>
      </c>
      <c r="K77" s="2">
        <f t="shared" si="2"/>
        <v>42405</v>
      </c>
      <c r="L77" t="str">
        <f t="shared" si="3"/>
        <v>Friday</v>
      </c>
    </row>
    <row r="78" spans="1:12" x14ac:dyDescent="0.35">
      <c r="A78" s="1">
        <v>42406.680555555555</v>
      </c>
      <c r="B78" s="1">
        <v>42406.703472222223</v>
      </c>
      <c r="C78" t="s">
        <v>7</v>
      </c>
      <c r="D78" t="s">
        <v>15</v>
      </c>
      <c r="E78" t="s">
        <v>40</v>
      </c>
      <c r="F78">
        <v>11.4</v>
      </c>
      <c r="G78" t="s">
        <v>53</v>
      </c>
      <c r="J78">
        <f>HOUR(Table1[[#This Row],[START_DATE]])</f>
        <v>16</v>
      </c>
      <c r="K78" s="2">
        <f t="shared" si="2"/>
        <v>42406</v>
      </c>
      <c r="L78" t="str">
        <f t="shared" si="3"/>
        <v>Saturday</v>
      </c>
    </row>
    <row r="79" spans="1:12" x14ac:dyDescent="0.35">
      <c r="A79" s="1">
        <v>42406.789583333331</v>
      </c>
      <c r="B79" s="1">
        <v>42406.806250000001</v>
      </c>
      <c r="C79" t="s">
        <v>7</v>
      </c>
      <c r="D79" t="s">
        <v>40</v>
      </c>
      <c r="E79" t="s">
        <v>15</v>
      </c>
      <c r="F79">
        <v>9</v>
      </c>
      <c r="G79" t="s">
        <v>10</v>
      </c>
      <c r="J79">
        <f>HOUR(Table1[[#This Row],[START_DATE]])</f>
        <v>18</v>
      </c>
      <c r="K79" s="2">
        <f t="shared" si="2"/>
        <v>42406</v>
      </c>
      <c r="L79" t="str">
        <f t="shared" si="3"/>
        <v>Saturday</v>
      </c>
    </row>
    <row r="80" spans="1:12" x14ac:dyDescent="0.35">
      <c r="A80" s="1">
        <v>42406.811111111114</v>
      </c>
      <c r="B80" s="1">
        <v>42406.817361111112</v>
      </c>
      <c r="C80" t="s">
        <v>7</v>
      </c>
      <c r="D80" t="s">
        <v>54</v>
      </c>
      <c r="E80" t="s">
        <v>38</v>
      </c>
      <c r="F80">
        <v>3.2</v>
      </c>
      <c r="G80" t="s">
        <v>9</v>
      </c>
      <c r="J80">
        <f>HOUR(Table1[[#This Row],[START_DATE]])</f>
        <v>19</v>
      </c>
      <c r="K80" s="2">
        <f t="shared" si="2"/>
        <v>42406</v>
      </c>
      <c r="L80" t="str">
        <f t="shared" si="3"/>
        <v>Saturday</v>
      </c>
    </row>
    <row r="81" spans="1:12" x14ac:dyDescent="0.35">
      <c r="A81" s="1">
        <v>42407.700694444444</v>
      </c>
      <c r="B81" s="1">
        <v>42407.709027777775</v>
      </c>
      <c r="C81" t="s">
        <v>7</v>
      </c>
      <c r="D81" t="s">
        <v>15</v>
      </c>
      <c r="E81" t="s">
        <v>48</v>
      </c>
      <c r="F81">
        <v>5.6</v>
      </c>
      <c r="G81" t="s">
        <v>10</v>
      </c>
      <c r="J81">
        <f>HOUR(Table1[[#This Row],[START_DATE]])</f>
        <v>16</v>
      </c>
      <c r="K81" s="2">
        <f t="shared" si="2"/>
        <v>42407</v>
      </c>
      <c r="L81" t="str">
        <f t="shared" si="3"/>
        <v>Sunday</v>
      </c>
    </row>
    <row r="82" spans="1:12" x14ac:dyDescent="0.35">
      <c r="A82" s="1">
        <v>42407.752083333333</v>
      </c>
      <c r="B82" s="1">
        <v>42407.761805555558</v>
      </c>
      <c r="C82" t="s">
        <v>7</v>
      </c>
      <c r="D82" t="s">
        <v>48</v>
      </c>
      <c r="E82" t="s">
        <v>15</v>
      </c>
      <c r="F82">
        <v>5.7</v>
      </c>
      <c r="G82" t="s">
        <v>13</v>
      </c>
      <c r="J82">
        <f>HOUR(Table1[[#This Row],[START_DATE]])</f>
        <v>18</v>
      </c>
      <c r="K82" s="2">
        <f t="shared" si="2"/>
        <v>42407</v>
      </c>
      <c r="L82" t="str">
        <f t="shared" si="3"/>
        <v>Sunday</v>
      </c>
    </row>
    <row r="83" spans="1:12" x14ac:dyDescent="0.35">
      <c r="A83" s="1">
        <v>42407.777083333334</v>
      </c>
      <c r="B83" s="1">
        <v>42407.786805555559</v>
      </c>
      <c r="C83" t="s">
        <v>7</v>
      </c>
      <c r="D83" t="s">
        <v>15</v>
      </c>
      <c r="E83" t="s">
        <v>16</v>
      </c>
      <c r="F83">
        <v>6.1</v>
      </c>
      <c r="G83" t="s">
        <v>24</v>
      </c>
      <c r="J83">
        <f>HOUR(Table1[[#This Row],[START_DATE]])</f>
        <v>18</v>
      </c>
      <c r="K83" s="2">
        <f t="shared" si="2"/>
        <v>42407</v>
      </c>
      <c r="L83" t="str">
        <f t="shared" si="3"/>
        <v>Sunday</v>
      </c>
    </row>
    <row r="84" spans="1:12" x14ac:dyDescent="0.35">
      <c r="A84" s="1">
        <v>42407.848611111112</v>
      </c>
      <c r="B84" s="1">
        <v>42407.861111111109</v>
      </c>
      <c r="C84" t="s">
        <v>7</v>
      </c>
      <c r="D84" t="s">
        <v>16</v>
      </c>
      <c r="E84" t="s">
        <v>15</v>
      </c>
      <c r="F84">
        <v>6.1</v>
      </c>
      <c r="G84" t="s">
        <v>11</v>
      </c>
      <c r="J84">
        <f>HOUR(Table1[[#This Row],[START_DATE]])</f>
        <v>20</v>
      </c>
      <c r="K84" s="2">
        <f t="shared" si="2"/>
        <v>42407</v>
      </c>
      <c r="L84" t="str">
        <f t="shared" si="3"/>
        <v>Sunday</v>
      </c>
    </row>
    <row r="85" spans="1:12" x14ac:dyDescent="0.35">
      <c r="A85" s="1">
        <v>42408.539583333331</v>
      </c>
      <c r="B85" s="1">
        <v>42408.547222222223</v>
      </c>
      <c r="C85" t="s">
        <v>7</v>
      </c>
      <c r="D85" t="s">
        <v>38</v>
      </c>
      <c r="E85" t="s">
        <v>54</v>
      </c>
      <c r="F85">
        <v>4.3</v>
      </c>
      <c r="G85" t="s">
        <v>9</v>
      </c>
      <c r="J85">
        <f>HOUR(Table1[[#This Row],[START_DATE]])</f>
        <v>12</v>
      </c>
      <c r="K85" s="2">
        <f t="shared" si="2"/>
        <v>42408</v>
      </c>
      <c r="L85" t="str">
        <f t="shared" si="3"/>
        <v>Monday</v>
      </c>
    </row>
    <row r="86" spans="1:12" x14ac:dyDescent="0.35">
      <c r="A86" s="1">
        <v>42408.583333333336</v>
      </c>
      <c r="B86" s="1">
        <v>42408.590277777781</v>
      </c>
      <c r="C86" t="s">
        <v>7</v>
      </c>
      <c r="D86" t="s">
        <v>54</v>
      </c>
      <c r="E86" t="s">
        <v>38</v>
      </c>
      <c r="F86">
        <v>2.7</v>
      </c>
      <c r="G86" t="s">
        <v>9</v>
      </c>
      <c r="J86">
        <f>HOUR(Table1[[#This Row],[START_DATE]])</f>
        <v>14</v>
      </c>
      <c r="K86" s="2">
        <f t="shared" si="2"/>
        <v>42408</v>
      </c>
      <c r="L86" t="str">
        <f t="shared" si="3"/>
        <v>Monday</v>
      </c>
    </row>
    <row r="87" spans="1:12" x14ac:dyDescent="0.35">
      <c r="A87" s="1">
        <v>42409.45416666667</v>
      </c>
      <c r="B87" s="1">
        <v>42409.463194444441</v>
      </c>
      <c r="C87" t="s">
        <v>55</v>
      </c>
      <c r="D87" t="s">
        <v>38</v>
      </c>
      <c r="E87" t="s">
        <v>50</v>
      </c>
      <c r="F87">
        <v>5.3</v>
      </c>
      <c r="J87">
        <f>HOUR(Table1[[#This Row],[START_DATE]])</f>
        <v>10</v>
      </c>
      <c r="K87" s="2">
        <f t="shared" si="2"/>
        <v>42409</v>
      </c>
      <c r="L87" t="str">
        <f t="shared" si="3"/>
        <v>Tuesday</v>
      </c>
    </row>
    <row r="88" spans="1:12" x14ac:dyDescent="0.35">
      <c r="A88" s="1">
        <v>42409.488194444442</v>
      </c>
      <c r="B88" s="1">
        <v>42409.493055555555</v>
      </c>
      <c r="C88" t="s">
        <v>55</v>
      </c>
      <c r="D88" t="s">
        <v>50</v>
      </c>
      <c r="E88" t="s">
        <v>56</v>
      </c>
      <c r="F88">
        <v>3</v>
      </c>
      <c r="J88">
        <f>HOUR(Table1[[#This Row],[START_DATE]])</f>
        <v>11</v>
      </c>
      <c r="K88" s="2">
        <f t="shared" si="2"/>
        <v>42409</v>
      </c>
      <c r="L88" t="str">
        <f t="shared" si="3"/>
        <v>Tuesday</v>
      </c>
    </row>
    <row r="89" spans="1:12" x14ac:dyDescent="0.35">
      <c r="A89" s="1">
        <v>42409.566666666666</v>
      </c>
      <c r="B89" s="1">
        <v>42409.577777777777</v>
      </c>
      <c r="C89" t="s">
        <v>55</v>
      </c>
      <c r="D89" t="s">
        <v>56</v>
      </c>
      <c r="E89" t="s">
        <v>57</v>
      </c>
      <c r="F89">
        <v>5.0999999999999996</v>
      </c>
      <c r="J89">
        <f>HOUR(Table1[[#This Row],[START_DATE]])</f>
        <v>13</v>
      </c>
      <c r="K89" s="2">
        <f t="shared" si="2"/>
        <v>42409</v>
      </c>
      <c r="L89" t="str">
        <f t="shared" si="3"/>
        <v>Tuesday</v>
      </c>
    </row>
    <row r="90" spans="1:12" x14ac:dyDescent="0.35">
      <c r="A90" s="1">
        <v>42409.581944444442</v>
      </c>
      <c r="B90" s="1">
        <v>42409.584722222222</v>
      </c>
      <c r="C90" t="s">
        <v>55</v>
      </c>
      <c r="D90" t="s">
        <v>57</v>
      </c>
      <c r="E90" t="s">
        <v>38</v>
      </c>
      <c r="F90">
        <v>1.5</v>
      </c>
      <c r="J90">
        <f>HOUR(Table1[[#This Row],[START_DATE]])</f>
        <v>13</v>
      </c>
      <c r="K90" s="2">
        <f t="shared" si="2"/>
        <v>42409</v>
      </c>
      <c r="L90" t="str">
        <f t="shared" si="3"/>
        <v>Tuesday</v>
      </c>
    </row>
    <row r="91" spans="1:12" x14ac:dyDescent="0.35">
      <c r="A91" s="1">
        <v>42409.788194444445</v>
      </c>
      <c r="B91" s="1">
        <v>42409.799305555556</v>
      </c>
      <c r="C91" t="s">
        <v>7</v>
      </c>
      <c r="D91" t="s">
        <v>15</v>
      </c>
      <c r="E91" t="s">
        <v>16</v>
      </c>
      <c r="F91">
        <v>6.1</v>
      </c>
      <c r="J91">
        <f>HOUR(Table1[[#This Row],[START_DATE]])</f>
        <v>18</v>
      </c>
      <c r="K91" s="2">
        <f t="shared" si="2"/>
        <v>42409</v>
      </c>
      <c r="L91" t="str">
        <f t="shared" si="3"/>
        <v>Tuesday</v>
      </c>
    </row>
    <row r="92" spans="1:12" x14ac:dyDescent="0.35">
      <c r="A92" s="1">
        <v>42409.85</v>
      </c>
      <c r="B92" s="1">
        <v>42409.861111111109</v>
      </c>
      <c r="C92" t="s">
        <v>7</v>
      </c>
      <c r="D92" t="s">
        <v>16</v>
      </c>
      <c r="E92" t="s">
        <v>15</v>
      </c>
      <c r="F92">
        <v>6.1</v>
      </c>
      <c r="G92" t="s">
        <v>9</v>
      </c>
      <c r="J92">
        <f>HOUR(Table1[[#This Row],[START_DATE]])</f>
        <v>20</v>
      </c>
      <c r="K92" s="2">
        <f t="shared" si="2"/>
        <v>42409</v>
      </c>
      <c r="L92" t="str">
        <f t="shared" si="3"/>
        <v>Tuesday</v>
      </c>
    </row>
    <row r="93" spans="1:12" x14ac:dyDescent="0.35">
      <c r="A93" s="1">
        <v>42411.686111111114</v>
      </c>
      <c r="B93" s="1">
        <v>42411.715277777781</v>
      </c>
      <c r="C93" t="s">
        <v>7</v>
      </c>
      <c r="D93" t="s">
        <v>15</v>
      </c>
      <c r="E93" t="s">
        <v>40</v>
      </c>
      <c r="F93">
        <v>17.3</v>
      </c>
      <c r="G93" t="s">
        <v>9</v>
      </c>
      <c r="J93">
        <f>HOUR(Table1[[#This Row],[START_DATE]])</f>
        <v>16</v>
      </c>
      <c r="K93" s="2">
        <f t="shared" si="2"/>
        <v>42411</v>
      </c>
      <c r="L93" t="str">
        <f t="shared" si="3"/>
        <v>Thursday</v>
      </c>
    </row>
    <row r="94" spans="1:12" x14ac:dyDescent="0.35">
      <c r="A94" s="1">
        <v>42411.742361111108</v>
      </c>
      <c r="B94" s="1">
        <v>42411.756944444445</v>
      </c>
      <c r="C94" t="s">
        <v>7</v>
      </c>
      <c r="D94" t="s">
        <v>58</v>
      </c>
      <c r="E94" t="s">
        <v>59</v>
      </c>
      <c r="F94">
        <v>5.7</v>
      </c>
      <c r="G94" t="s">
        <v>9</v>
      </c>
      <c r="J94">
        <f>HOUR(Table1[[#This Row],[START_DATE]])</f>
        <v>17</v>
      </c>
      <c r="K94" s="2">
        <f t="shared" si="2"/>
        <v>42411</v>
      </c>
      <c r="L94" t="str">
        <f t="shared" si="3"/>
        <v>Thursday</v>
      </c>
    </row>
    <row r="95" spans="1:12" x14ac:dyDescent="0.35">
      <c r="A95" s="1">
        <v>42411.76666666667</v>
      </c>
      <c r="B95" s="1">
        <v>42411.781944444447</v>
      </c>
      <c r="C95" t="s">
        <v>7</v>
      </c>
      <c r="D95" t="s">
        <v>40</v>
      </c>
      <c r="E95" t="s">
        <v>16</v>
      </c>
      <c r="F95">
        <v>13.5</v>
      </c>
      <c r="G95" t="s">
        <v>24</v>
      </c>
      <c r="J95">
        <f>HOUR(Table1[[#This Row],[START_DATE]])</f>
        <v>18</v>
      </c>
      <c r="K95" s="2">
        <f t="shared" si="2"/>
        <v>42411</v>
      </c>
      <c r="L95" t="str">
        <f t="shared" si="3"/>
        <v>Thursday</v>
      </c>
    </row>
    <row r="96" spans="1:12" x14ac:dyDescent="0.35">
      <c r="A96" s="1">
        <v>42411.85833333333</v>
      </c>
      <c r="B96" s="1">
        <v>42411.868750000001</v>
      </c>
      <c r="C96" t="s">
        <v>7</v>
      </c>
      <c r="D96" t="s">
        <v>16</v>
      </c>
      <c r="E96" t="s">
        <v>15</v>
      </c>
      <c r="F96">
        <v>6.1</v>
      </c>
      <c r="G96" t="s">
        <v>24</v>
      </c>
      <c r="J96">
        <f>HOUR(Table1[[#This Row],[START_DATE]])</f>
        <v>20</v>
      </c>
      <c r="K96" s="2">
        <f t="shared" si="2"/>
        <v>42411</v>
      </c>
      <c r="L96" t="str">
        <f t="shared" si="3"/>
        <v>Thursday</v>
      </c>
    </row>
    <row r="97" spans="1:12" x14ac:dyDescent="0.35">
      <c r="A97" s="1">
        <v>42412.347916666666</v>
      </c>
      <c r="B97" s="1">
        <v>42412.362500000003</v>
      </c>
      <c r="C97" t="s">
        <v>7</v>
      </c>
      <c r="D97" t="s">
        <v>15</v>
      </c>
      <c r="E97" t="s">
        <v>36</v>
      </c>
      <c r="F97">
        <v>8.5</v>
      </c>
      <c r="G97" t="s">
        <v>24</v>
      </c>
      <c r="J97">
        <f>HOUR(Table1[[#This Row],[START_DATE]])</f>
        <v>8</v>
      </c>
      <c r="K97" s="2">
        <f t="shared" si="2"/>
        <v>42412</v>
      </c>
      <c r="L97" t="str">
        <f t="shared" si="3"/>
        <v>Friday</v>
      </c>
    </row>
    <row r="98" spans="1:12" x14ac:dyDescent="0.35">
      <c r="A98" s="1">
        <v>42412.447916666664</v>
      </c>
      <c r="B98" s="1">
        <v>42412.452777777777</v>
      </c>
      <c r="C98" t="s">
        <v>7</v>
      </c>
      <c r="D98" t="s">
        <v>36</v>
      </c>
      <c r="E98" t="s">
        <v>16</v>
      </c>
      <c r="F98">
        <v>2.6</v>
      </c>
      <c r="G98" t="s">
        <v>24</v>
      </c>
      <c r="J98">
        <f>HOUR(Table1[[#This Row],[START_DATE]])</f>
        <v>10</v>
      </c>
      <c r="K98" s="2">
        <f t="shared" si="2"/>
        <v>42412</v>
      </c>
      <c r="L98" t="str">
        <f t="shared" si="3"/>
        <v>Friday</v>
      </c>
    </row>
    <row r="99" spans="1:12" x14ac:dyDescent="0.35">
      <c r="A99" s="1">
        <v>42412.468055555553</v>
      </c>
      <c r="B99" s="1">
        <v>42412.482638888891</v>
      </c>
      <c r="C99" t="s">
        <v>7</v>
      </c>
      <c r="D99" t="s">
        <v>16</v>
      </c>
      <c r="E99" t="s">
        <v>40</v>
      </c>
      <c r="F99">
        <v>17</v>
      </c>
      <c r="G99" t="s">
        <v>13</v>
      </c>
      <c r="J99">
        <f>HOUR(Table1[[#This Row],[START_DATE]])</f>
        <v>11</v>
      </c>
      <c r="K99" s="2">
        <f t="shared" si="2"/>
        <v>42412</v>
      </c>
      <c r="L99" t="str">
        <f t="shared" si="3"/>
        <v>Friday</v>
      </c>
    </row>
    <row r="100" spans="1:12" x14ac:dyDescent="0.35">
      <c r="A100" s="1">
        <v>42412.543055555558</v>
      </c>
      <c r="B100" s="1">
        <v>42412.566666666666</v>
      </c>
      <c r="C100" t="s">
        <v>7</v>
      </c>
      <c r="D100" t="s">
        <v>40</v>
      </c>
      <c r="E100" t="s">
        <v>15</v>
      </c>
      <c r="F100">
        <v>18</v>
      </c>
      <c r="G100" t="s">
        <v>11</v>
      </c>
      <c r="J100">
        <f>HOUR(Table1[[#This Row],[START_DATE]])</f>
        <v>13</v>
      </c>
      <c r="K100" s="2">
        <f t="shared" si="2"/>
        <v>42412</v>
      </c>
      <c r="L100" t="str">
        <f t="shared" si="3"/>
        <v>Friday</v>
      </c>
    </row>
    <row r="101" spans="1:12" x14ac:dyDescent="0.35">
      <c r="A101" s="1">
        <v>42412.617361111108</v>
      </c>
      <c r="B101" s="1">
        <v>42412.629166666666</v>
      </c>
      <c r="C101" t="s">
        <v>7</v>
      </c>
      <c r="D101" t="s">
        <v>15</v>
      </c>
      <c r="E101" t="s">
        <v>16</v>
      </c>
      <c r="F101">
        <v>8.4</v>
      </c>
      <c r="G101" t="s">
        <v>11</v>
      </c>
      <c r="J101">
        <f>HOUR(Table1[[#This Row],[START_DATE]])</f>
        <v>14</v>
      </c>
      <c r="K101" s="2">
        <f t="shared" si="2"/>
        <v>42412</v>
      </c>
      <c r="L101" t="str">
        <f t="shared" si="3"/>
        <v>Friday</v>
      </c>
    </row>
    <row r="102" spans="1:12" x14ac:dyDescent="0.35">
      <c r="A102" s="1">
        <v>42412.647916666669</v>
      </c>
      <c r="B102" s="1">
        <v>42412.67083333333</v>
      </c>
      <c r="C102" t="s">
        <v>7</v>
      </c>
      <c r="D102" t="s">
        <v>16</v>
      </c>
      <c r="E102" t="s">
        <v>15</v>
      </c>
      <c r="F102">
        <v>11.5</v>
      </c>
      <c r="G102" t="s">
        <v>13</v>
      </c>
      <c r="J102">
        <f>HOUR(Table1[[#This Row],[START_DATE]])</f>
        <v>15</v>
      </c>
      <c r="K102" s="2">
        <f t="shared" si="2"/>
        <v>42412</v>
      </c>
      <c r="L102" t="str">
        <f t="shared" si="3"/>
        <v>Friday</v>
      </c>
    </row>
    <row r="103" spans="1:12" x14ac:dyDescent="0.35">
      <c r="A103" s="1">
        <v>42413.597916666666</v>
      </c>
      <c r="B103" s="1">
        <v>42413.611805555556</v>
      </c>
      <c r="C103" t="s">
        <v>7</v>
      </c>
      <c r="D103" t="s">
        <v>15</v>
      </c>
      <c r="E103" t="s">
        <v>16</v>
      </c>
      <c r="F103">
        <v>8.9</v>
      </c>
      <c r="G103" t="s">
        <v>11</v>
      </c>
      <c r="J103">
        <f>HOUR(Table1[[#This Row],[START_DATE]])</f>
        <v>14</v>
      </c>
      <c r="K103" s="2">
        <f t="shared" si="2"/>
        <v>42413</v>
      </c>
      <c r="L103" t="str">
        <f t="shared" si="3"/>
        <v>Saturday</v>
      </c>
    </row>
    <row r="104" spans="1:12" x14ac:dyDescent="0.35">
      <c r="A104" s="1">
        <v>42413.989583333336</v>
      </c>
      <c r="B104" s="1">
        <v>42414.000694444447</v>
      </c>
      <c r="C104" t="s">
        <v>55</v>
      </c>
      <c r="D104" t="s">
        <v>60</v>
      </c>
      <c r="E104" t="s">
        <v>61</v>
      </c>
      <c r="F104">
        <v>2.7</v>
      </c>
      <c r="J104">
        <f>HOUR(Table1[[#This Row],[START_DATE]])</f>
        <v>23</v>
      </c>
      <c r="K104" s="2">
        <f t="shared" si="2"/>
        <v>42413</v>
      </c>
      <c r="L104" t="str">
        <f t="shared" si="3"/>
        <v>Saturday</v>
      </c>
    </row>
    <row r="105" spans="1:12" x14ac:dyDescent="0.35">
      <c r="A105" s="1">
        <v>42414.034722222219</v>
      </c>
      <c r="B105" s="1">
        <v>42414.041666666664</v>
      </c>
      <c r="C105" t="s">
        <v>55</v>
      </c>
      <c r="D105" t="s">
        <v>61</v>
      </c>
      <c r="E105" t="s">
        <v>60</v>
      </c>
      <c r="F105">
        <v>1.8</v>
      </c>
      <c r="J105">
        <f>HOUR(Table1[[#This Row],[START_DATE]])</f>
        <v>0</v>
      </c>
      <c r="K105" s="2">
        <f t="shared" si="2"/>
        <v>42414</v>
      </c>
      <c r="L105" t="str">
        <f t="shared" si="3"/>
        <v>Sunday</v>
      </c>
    </row>
    <row r="106" spans="1:12" x14ac:dyDescent="0.35">
      <c r="A106" s="1">
        <v>42414.588194444441</v>
      </c>
      <c r="B106" s="1">
        <v>42414.611111111109</v>
      </c>
      <c r="C106" t="s">
        <v>7</v>
      </c>
      <c r="D106" t="s">
        <v>60</v>
      </c>
      <c r="E106" t="s">
        <v>18</v>
      </c>
      <c r="F106">
        <v>8.1</v>
      </c>
      <c r="G106" t="s">
        <v>11</v>
      </c>
      <c r="J106">
        <f>HOUR(Table1[[#This Row],[START_DATE]])</f>
        <v>14</v>
      </c>
      <c r="K106" s="2">
        <f t="shared" si="2"/>
        <v>42414</v>
      </c>
      <c r="L106" t="str">
        <f t="shared" si="3"/>
        <v>Sunday</v>
      </c>
    </row>
    <row r="107" spans="1:12" x14ac:dyDescent="0.35">
      <c r="A107" s="1">
        <v>42414.615277777775</v>
      </c>
      <c r="B107" s="1">
        <v>42414.627083333333</v>
      </c>
      <c r="C107" t="s">
        <v>7</v>
      </c>
      <c r="D107" t="s">
        <v>21</v>
      </c>
      <c r="E107" t="s">
        <v>62</v>
      </c>
      <c r="F107">
        <v>2</v>
      </c>
      <c r="G107" t="s">
        <v>11</v>
      </c>
      <c r="J107">
        <f>HOUR(Table1[[#This Row],[START_DATE]])</f>
        <v>14</v>
      </c>
      <c r="K107" s="2">
        <f t="shared" si="2"/>
        <v>42414</v>
      </c>
      <c r="L107" t="str">
        <f t="shared" si="3"/>
        <v>Sunday</v>
      </c>
    </row>
    <row r="108" spans="1:12" x14ac:dyDescent="0.35">
      <c r="A108" s="1">
        <v>42414.690972222219</v>
      </c>
      <c r="B108" s="1">
        <v>42414.709722222222</v>
      </c>
      <c r="C108" t="s">
        <v>7</v>
      </c>
      <c r="D108" t="s">
        <v>18</v>
      </c>
      <c r="E108" t="s">
        <v>63</v>
      </c>
      <c r="F108">
        <v>13</v>
      </c>
      <c r="G108" t="s">
        <v>11</v>
      </c>
      <c r="J108">
        <f>HOUR(Table1[[#This Row],[START_DATE]])</f>
        <v>16</v>
      </c>
      <c r="K108" s="2">
        <f t="shared" si="2"/>
        <v>42414</v>
      </c>
      <c r="L108" t="str">
        <f t="shared" si="3"/>
        <v>Sunday</v>
      </c>
    </row>
    <row r="109" spans="1:12" x14ac:dyDescent="0.35">
      <c r="A109" s="1">
        <v>42414.712500000001</v>
      </c>
      <c r="B109" s="1">
        <v>42414.728472222225</v>
      </c>
      <c r="C109" t="s">
        <v>7</v>
      </c>
      <c r="D109" t="s">
        <v>63</v>
      </c>
      <c r="E109" t="s">
        <v>17</v>
      </c>
      <c r="F109">
        <v>13.9</v>
      </c>
      <c r="G109" t="s">
        <v>11</v>
      </c>
      <c r="J109">
        <f>HOUR(Table1[[#This Row],[START_DATE]])</f>
        <v>17</v>
      </c>
      <c r="K109" s="2">
        <f t="shared" si="2"/>
        <v>42414</v>
      </c>
      <c r="L109" t="str">
        <f t="shared" si="3"/>
        <v>Sunday</v>
      </c>
    </row>
    <row r="110" spans="1:12" x14ac:dyDescent="0.35">
      <c r="A110" s="1">
        <v>42416.13958333333</v>
      </c>
      <c r="B110" s="1">
        <v>42416.175694444442</v>
      </c>
      <c r="C110" t="s">
        <v>7</v>
      </c>
      <c r="D110" t="s">
        <v>64</v>
      </c>
      <c r="E110" t="s">
        <v>65</v>
      </c>
      <c r="F110">
        <v>43.7</v>
      </c>
      <c r="G110" t="s">
        <v>13</v>
      </c>
      <c r="J110">
        <f>HOUR(Table1[[#This Row],[START_DATE]])</f>
        <v>3</v>
      </c>
      <c r="K110" s="2">
        <f t="shared" si="2"/>
        <v>42416</v>
      </c>
      <c r="L110" t="str">
        <f t="shared" si="3"/>
        <v>Tuesday</v>
      </c>
    </row>
    <row r="111" spans="1:12" x14ac:dyDescent="0.35">
      <c r="A111" s="1">
        <v>42416.353472222225</v>
      </c>
      <c r="B111" s="1">
        <v>42416.398611111108</v>
      </c>
      <c r="C111" t="s">
        <v>7</v>
      </c>
      <c r="D111" t="s">
        <v>65</v>
      </c>
      <c r="E111" t="s">
        <v>66</v>
      </c>
      <c r="F111">
        <v>14.1</v>
      </c>
      <c r="J111">
        <f>HOUR(Table1[[#This Row],[START_DATE]])</f>
        <v>8</v>
      </c>
      <c r="K111" s="2">
        <f t="shared" si="2"/>
        <v>42416</v>
      </c>
      <c r="L111" t="str">
        <f t="shared" si="3"/>
        <v>Tuesday</v>
      </c>
    </row>
    <row r="112" spans="1:12" x14ac:dyDescent="0.35">
      <c r="A112" s="1">
        <v>42416.438194444447</v>
      </c>
      <c r="B112" s="1">
        <v>42416.445138888892</v>
      </c>
      <c r="C112" t="s">
        <v>7</v>
      </c>
      <c r="D112" t="s">
        <v>66</v>
      </c>
      <c r="E112" t="s">
        <v>66</v>
      </c>
      <c r="F112">
        <v>2.6</v>
      </c>
      <c r="J112">
        <f>HOUR(Table1[[#This Row],[START_DATE]])</f>
        <v>10</v>
      </c>
      <c r="K112" s="2">
        <f t="shared" si="2"/>
        <v>42416</v>
      </c>
      <c r="L112" t="str">
        <f t="shared" si="3"/>
        <v>Tuesday</v>
      </c>
    </row>
    <row r="113" spans="1:12" x14ac:dyDescent="0.35">
      <c r="A113" s="1">
        <v>42416.480555555558</v>
      </c>
      <c r="B113" s="1">
        <v>42416.501388888886</v>
      </c>
      <c r="C113" t="s">
        <v>7</v>
      </c>
      <c r="D113" t="s">
        <v>66</v>
      </c>
      <c r="E113" t="s">
        <v>66</v>
      </c>
      <c r="F113">
        <v>4.5</v>
      </c>
      <c r="J113">
        <f>HOUR(Table1[[#This Row],[START_DATE]])</f>
        <v>11</v>
      </c>
      <c r="K113" s="2">
        <f t="shared" si="2"/>
        <v>42416</v>
      </c>
      <c r="L113" t="str">
        <f t="shared" si="3"/>
        <v>Tuesday</v>
      </c>
    </row>
    <row r="114" spans="1:12" x14ac:dyDescent="0.35">
      <c r="A114" s="1">
        <v>42416.527083333334</v>
      </c>
      <c r="B114" s="1">
        <v>42416.529166666667</v>
      </c>
      <c r="C114" t="s">
        <v>7</v>
      </c>
      <c r="D114" t="s">
        <v>66</v>
      </c>
      <c r="E114" t="s">
        <v>66</v>
      </c>
      <c r="F114">
        <v>1.7</v>
      </c>
      <c r="J114">
        <f>HOUR(Table1[[#This Row],[START_DATE]])</f>
        <v>12</v>
      </c>
      <c r="K114" s="2">
        <f t="shared" si="2"/>
        <v>42416</v>
      </c>
      <c r="L114" t="str">
        <f t="shared" si="3"/>
        <v>Tuesday</v>
      </c>
    </row>
    <row r="115" spans="1:12" x14ac:dyDescent="0.35">
      <c r="A115" s="1">
        <v>42416.571527777778</v>
      </c>
      <c r="B115" s="1">
        <v>42416.579861111109</v>
      </c>
      <c r="C115" t="s">
        <v>7</v>
      </c>
      <c r="D115" t="s">
        <v>66</v>
      </c>
      <c r="E115" t="s">
        <v>66</v>
      </c>
      <c r="F115">
        <v>1.8</v>
      </c>
      <c r="G115" t="s">
        <v>24</v>
      </c>
      <c r="J115">
        <f>HOUR(Table1[[#This Row],[START_DATE]])</f>
        <v>13</v>
      </c>
      <c r="K115" s="2">
        <f t="shared" si="2"/>
        <v>42416</v>
      </c>
      <c r="L115" t="str">
        <f t="shared" si="3"/>
        <v>Tuesday</v>
      </c>
    </row>
    <row r="116" spans="1:12" x14ac:dyDescent="0.35">
      <c r="A116" s="1">
        <v>42416.69027777778</v>
      </c>
      <c r="B116" s="1">
        <v>42416.715277777781</v>
      </c>
      <c r="C116" t="s">
        <v>7</v>
      </c>
      <c r="D116" t="s">
        <v>66</v>
      </c>
      <c r="E116" t="s">
        <v>66</v>
      </c>
      <c r="F116">
        <v>6</v>
      </c>
      <c r="J116">
        <f>HOUR(Table1[[#This Row],[START_DATE]])</f>
        <v>16</v>
      </c>
      <c r="K116" s="2">
        <f t="shared" si="2"/>
        <v>42416</v>
      </c>
      <c r="L116" t="str">
        <f t="shared" si="3"/>
        <v>Tuesday</v>
      </c>
    </row>
    <row r="117" spans="1:12" x14ac:dyDescent="0.35">
      <c r="A117" s="1">
        <v>42416.720138888886</v>
      </c>
      <c r="B117" s="1">
        <v>42416.726388888892</v>
      </c>
      <c r="C117" t="s">
        <v>7</v>
      </c>
      <c r="D117" t="s">
        <v>66</v>
      </c>
      <c r="E117" t="s">
        <v>67</v>
      </c>
      <c r="F117">
        <v>1.1000000000000001</v>
      </c>
      <c r="G117" t="s">
        <v>9</v>
      </c>
      <c r="J117">
        <f>HOUR(Table1[[#This Row],[START_DATE]])</f>
        <v>17</v>
      </c>
      <c r="K117" s="2">
        <f t="shared" si="2"/>
        <v>42416</v>
      </c>
      <c r="L117" t="str">
        <f t="shared" si="3"/>
        <v>Tuesday</v>
      </c>
    </row>
    <row r="118" spans="1:12" x14ac:dyDescent="0.35">
      <c r="A118" s="1">
        <v>42416.736111111109</v>
      </c>
      <c r="B118" s="1">
        <v>42416.738888888889</v>
      </c>
      <c r="C118" t="s">
        <v>7</v>
      </c>
      <c r="D118" t="s">
        <v>67</v>
      </c>
      <c r="E118" t="s">
        <v>65</v>
      </c>
      <c r="F118">
        <v>3.6</v>
      </c>
      <c r="G118" t="s">
        <v>10</v>
      </c>
      <c r="J118">
        <f>HOUR(Table1[[#This Row],[START_DATE]])</f>
        <v>17</v>
      </c>
      <c r="K118" s="2">
        <f t="shared" si="2"/>
        <v>42416</v>
      </c>
      <c r="L118" t="str">
        <f t="shared" si="3"/>
        <v>Tuesday</v>
      </c>
    </row>
    <row r="119" spans="1:12" x14ac:dyDescent="0.35">
      <c r="A119" s="1">
        <v>42417.554166666669</v>
      </c>
      <c r="B119" s="1">
        <v>42417.586111111108</v>
      </c>
      <c r="C119" t="s">
        <v>7</v>
      </c>
      <c r="D119" t="s">
        <v>65</v>
      </c>
      <c r="E119" t="s">
        <v>66</v>
      </c>
      <c r="F119">
        <v>14.7</v>
      </c>
      <c r="G119" t="s">
        <v>24</v>
      </c>
      <c r="J119">
        <f>HOUR(Table1[[#This Row],[START_DATE]])</f>
        <v>13</v>
      </c>
      <c r="K119" s="2">
        <f t="shared" si="2"/>
        <v>42417</v>
      </c>
      <c r="L119" t="str">
        <f t="shared" si="3"/>
        <v>Wednesday</v>
      </c>
    </row>
    <row r="120" spans="1:12" x14ac:dyDescent="0.35">
      <c r="A120" s="1">
        <v>42417.636805555558</v>
      </c>
      <c r="B120" s="1">
        <v>42417.640277777777</v>
      </c>
      <c r="C120" t="s">
        <v>7</v>
      </c>
      <c r="D120" t="s">
        <v>66</v>
      </c>
      <c r="E120" t="s">
        <v>66</v>
      </c>
      <c r="F120">
        <v>1.7</v>
      </c>
      <c r="G120" t="s">
        <v>9</v>
      </c>
      <c r="J120">
        <f>HOUR(Table1[[#This Row],[START_DATE]])</f>
        <v>15</v>
      </c>
      <c r="K120" s="2">
        <f t="shared" si="2"/>
        <v>42417</v>
      </c>
      <c r="L120" t="str">
        <f t="shared" si="3"/>
        <v>Wednesday</v>
      </c>
    </row>
    <row r="121" spans="1:12" x14ac:dyDescent="0.35">
      <c r="A121" s="1">
        <v>42417.647916666669</v>
      </c>
      <c r="B121" s="1">
        <v>42417.678472222222</v>
      </c>
      <c r="C121" t="s">
        <v>7</v>
      </c>
      <c r="D121" t="s">
        <v>66</v>
      </c>
      <c r="E121" t="s">
        <v>64</v>
      </c>
      <c r="F121">
        <v>21.4</v>
      </c>
      <c r="G121" t="s">
        <v>24</v>
      </c>
      <c r="J121">
        <f>HOUR(Table1[[#This Row],[START_DATE]])</f>
        <v>15</v>
      </c>
      <c r="K121" s="2">
        <f t="shared" si="2"/>
        <v>42417</v>
      </c>
      <c r="L121" t="str">
        <f t="shared" si="3"/>
        <v>Wednesday</v>
      </c>
    </row>
    <row r="122" spans="1:12" x14ac:dyDescent="0.35">
      <c r="A122" s="1">
        <v>42417.693055555559</v>
      </c>
      <c r="B122" s="1">
        <v>42417.696527777778</v>
      </c>
      <c r="C122" t="s">
        <v>7</v>
      </c>
      <c r="D122" t="s">
        <v>64</v>
      </c>
      <c r="E122" t="s">
        <v>64</v>
      </c>
      <c r="F122">
        <v>0.5</v>
      </c>
      <c r="G122" t="s">
        <v>10</v>
      </c>
      <c r="J122">
        <f>HOUR(Table1[[#This Row],[START_DATE]])</f>
        <v>16</v>
      </c>
      <c r="K122" s="2">
        <f t="shared" si="2"/>
        <v>42417</v>
      </c>
      <c r="L122" t="str">
        <f t="shared" si="3"/>
        <v>Wednesday</v>
      </c>
    </row>
    <row r="123" spans="1:12" x14ac:dyDescent="0.35">
      <c r="A123" s="1">
        <v>42418.34652777778</v>
      </c>
      <c r="B123" s="1">
        <v>42418.352083333331</v>
      </c>
      <c r="C123" t="s">
        <v>7</v>
      </c>
      <c r="D123" t="s">
        <v>65</v>
      </c>
      <c r="E123" t="s">
        <v>65</v>
      </c>
      <c r="F123">
        <v>23.5</v>
      </c>
      <c r="G123" t="s">
        <v>24</v>
      </c>
      <c r="J123">
        <f>HOUR(Table1[[#This Row],[START_DATE]])</f>
        <v>8</v>
      </c>
      <c r="K123" s="2">
        <f t="shared" si="2"/>
        <v>42418</v>
      </c>
      <c r="L123" t="str">
        <f t="shared" si="3"/>
        <v>Thursday</v>
      </c>
    </row>
    <row r="124" spans="1:12" x14ac:dyDescent="0.35">
      <c r="A124" s="1">
        <v>42418.585416666669</v>
      </c>
      <c r="B124" s="1">
        <v>42418.614583333336</v>
      </c>
      <c r="C124" t="s">
        <v>7</v>
      </c>
      <c r="D124" t="s">
        <v>65</v>
      </c>
      <c r="E124" t="s">
        <v>68</v>
      </c>
      <c r="F124">
        <v>12.7</v>
      </c>
      <c r="G124" t="s">
        <v>24</v>
      </c>
      <c r="J124">
        <f>HOUR(Table1[[#This Row],[START_DATE]])</f>
        <v>14</v>
      </c>
      <c r="K124" s="2">
        <f t="shared" si="2"/>
        <v>42418</v>
      </c>
      <c r="L124" t="str">
        <f t="shared" si="3"/>
        <v>Thursday</v>
      </c>
    </row>
    <row r="125" spans="1:12" x14ac:dyDescent="0.35">
      <c r="A125" s="1">
        <v>42418.636111111111</v>
      </c>
      <c r="B125" s="1">
        <v>42418.646527777775</v>
      </c>
      <c r="C125" t="s">
        <v>7</v>
      </c>
      <c r="D125" t="s">
        <v>68</v>
      </c>
      <c r="E125" t="s">
        <v>65</v>
      </c>
      <c r="F125">
        <v>6</v>
      </c>
      <c r="G125" t="s">
        <v>24</v>
      </c>
      <c r="J125">
        <f>HOUR(Table1[[#This Row],[START_DATE]])</f>
        <v>15</v>
      </c>
      <c r="K125" s="2">
        <f t="shared" si="2"/>
        <v>42418</v>
      </c>
      <c r="L125" t="str">
        <f t="shared" si="3"/>
        <v>Thursday</v>
      </c>
    </row>
    <row r="126" spans="1:12" x14ac:dyDescent="0.35">
      <c r="A126" s="1">
        <v>42418.780555555553</v>
      </c>
      <c r="B126" s="1">
        <v>42418.790277777778</v>
      </c>
      <c r="C126" t="s">
        <v>7</v>
      </c>
      <c r="D126" t="s">
        <v>65</v>
      </c>
      <c r="E126" t="s">
        <v>68</v>
      </c>
      <c r="F126">
        <v>5.2</v>
      </c>
      <c r="G126" t="s">
        <v>13</v>
      </c>
      <c r="J126">
        <f>HOUR(Table1[[#This Row],[START_DATE]])</f>
        <v>18</v>
      </c>
      <c r="K126" s="2">
        <f t="shared" si="2"/>
        <v>42418</v>
      </c>
      <c r="L126" t="str">
        <f t="shared" si="3"/>
        <v>Thursday</v>
      </c>
    </row>
    <row r="127" spans="1:12" x14ac:dyDescent="0.35">
      <c r="A127" s="1">
        <v>42418.810416666667</v>
      </c>
      <c r="B127" s="1">
        <v>42418.838888888888</v>
      </c>
      <c r="C127" t="s">
        <v>7</v>
      </c>
      <c r="D127" t="s">
        <v>68</v>
      </c>
      <c r="E127" t="s">
        <v>65</v>
      </c>
      <c r="F127">
        <v>10</v>
      </c>
      <c r="G127" t="s">
        <v>11</v>
      </c>
      <c r="J127">
        <f>HOUR(Table1[[#This Row],[START_DATE]])</f>
        <v>19</v>
      </c>
      <c r="K127" s="2">
        <f t="shared" si="2"/>
        <v>42418</v>
      </c>
      <c r="L127" t="str">
        <f t="shared" si="3"/>
        <v>Thursday</v>
      </c>
    </row>
    <row r="128" spans="1:12" x14ac:dyDescent="0.35">
      <c r="A128" s="1">
        <v>42419.376388888886</v>
      </c>
      <c r="B128" s="1">
        <v>42419.384722222225</v>
      </c>
      <c r="C128" t="s">
        <v>7</v>
      </c>
      <c r="D128" t="s">
        <v>65</v>
      </c>
      <c r="E128" t="s">
        <v>65</v>
      </c>
      <c r="F128">
        <v>18.3</v>
      </c>
      <c r="G128" t="s">
        <v>11</v>
      </c>
      <c r="J128">
        <f>HOUR(Table1[[#This Row],[START_DATE]])</f>
        <v>9</v>
      </c>
      <c r="K128" s="2">
        <f t="shared" si="2"/>
        <v>42419</v>
      </c>
      <c r="L128" t="str">
        <f t="shared" si="3"/>
        <v>Friday</v>
      </c>
    </row>
    <row r="129" spans="1:12" x14ac:dyDescent="0.35">
      <c r="A129" s="1">
        <v>42419.38958333333</v>
      </c>
      <c r="B129" s="1">
        <v>42419.410416666666</v>
      </c>
      <c r="C129" t="s">
        <v>7</v>
      </c>
      <c r="D129" t="s">
        <v>65</v>
      </c>
      <c r="E129" t="s">
        <v>65</v>
      </c>
      <c r="F129">
        <v>11.2</v>
      </c>
      <c r="G129" t="s">
        <v>11</v>
      </c>
      <c r="J129">
        <f>HOUR(Table1[[#This Row],[START_DATE]])</f>
        <v>9</v>
      </c>
      <c r="K129" s="2">
        <f t="shared" si="2"/>
        <v>42419</v>
      </c>
      <c r="L129" t="str">
        <f t="shared" si="3"/>
        <v>Friday</v>
      </c>
    </row>
    <row r="130" spans="1:12" x14ac:dyDescent="0.35">
      <c r="A130" s="1">
        <v>42419.431250000001</v>
      </c>
      <c r="B130" s="1">
        <v>42419.45</v>
      </c>
      <c r="C130" t="s">
        <v>7</v>
      </c>
      <c r="D130" t="s">
        <v>65</v>
      </c>
      <c r="E130" t="s">
        <v>68</v>
      </c>
      <c r="F130">
        <v>7.6</v>
      </c>
      <c r="G130" t="s">
        <v>11</v>
      </c>
      <c r="J130">
        <f>HOUR(Table1[[#This Row],[START_DATE]])</f>
        <v>10</v>
      </c>
      <c r="K130" s="2">
        <f t="shared" si="2"/>
        <v>42419</v>
      </c>
      <c r="L130" t="str">
        <f t="shared" si="3"/>
        <v>Friday</v>
      </c>
    </row>
    <row r="131" spans="1:12" x14ac:dyDescent="0.35">
      <c r="A131" s="1">
        <v>42419.472222222219</v>
      </c>
      <c r="B131" s="1">
        <v>42419.476388888892</v>
      </c>
      <c r="C131" t="s">
        <v>55</v>
      </c>
      <c r="D131" t="s">
        <v>68</v>
      </c>
      <c r="E131" t="s">
        <v>68</v>
      </c>
      <c r="F131">
        <v>1.5</v>
      </c>
      <c r="J131">
        <f>HOUR(Table1[[#This Row],[START_DATE]])</f>
        <v>11</v>
      </c>
      <c r="K131" s="2">
        <f t="shared" ref="K131:K194" si="4">DATE(YEAR(A131), MONTH(A131), DAY(A131))</f>
        <v>42419</v>
      </c>
      <c r="L131" t="str">
        <f t="shared" ref="L131:L194" si="5">TEXT(A131,"dddd")</f>
        <v>Friday</v>
      </c>
    </row>
    <row r="132" spans="1:12" x14ac:dyDescent="0.35">
      <c r="A132" s="1">
        <v>42419.489583333336</v>
      </c>
      <c r="B132" s="1">
        <v>42419.493055555555</v>
      </c>
      <c r="C132" t="s">
        <v>55</v>
      </c>
      <c r="D132" t="s">
        <v>68</v>
      </c>
      <c r="E132" t="s">
        <v>68</v>
      </c>
      <c r="F132">
        <v>1</v>
      </c>
      <c r="J132">
        <f>HOUR(Table1[[#This Row],[START_DATE]])</f>
        <v>11</v>
      </c>
      <c r="K132" s="2">
        <f t="shared" si="4"/>
        <v>42419</v>
      </c>
      <c r="L132" t="str">
        <f t="shared" si="5"/>
        <v>Friday</v>
      </c>
    </row>
    <row r="133" spans="1:12" x14ac:dyDescent="0.35">
      <c r="A133" s="1">
        <v>42419.506249999999</v>
      </c>
      <c r="B133" s="1">
        <v>42419.518750000003</v>
      </c>
      <c r="C133" t="s">
        <v>7</v>
      </c>
      <c r="D133" t="s">
        <v>68</v>
      </c>
      <c r="E133" t="s">
        <v>65</v>
      </c>
      <c r="F133">
        <v>7.3</v>
      </c>
      <c r="G133" t="s">
        <v>24</v>
      </c>
      <c r="J133">
        <f>HOUR(Table1[[#This Row],[START_DATE]])</f>
        <v>12</v>
      </c>
      <c r="K133" s="2">
        <f t="shared" si="4"/>
        <v>42419</v>
      </c>
      <c r="L133" t="str">
        <f t="shared" si="5"/>
        <v>Friday</v>
      </c>
    </row>
    <row r="134" spans="1:12" x14ac:dyDescent="0.35">
      <c r="A134" s="1">
        <v>42419.68472222222</v>
      </c>
      <c r="B134" s="1">
        <v>42419.697916666664</v>
      </c>
      <c r="C134" t="s">
        <v>7</v>
      </c>
      <c r="D134" t="s">
        <v>65</v>
      </c>
      <c r="E134" t="s">
        <v>68</v>
      </c>
      <c r="F134">
        <v>3.5</v>
      </c>
      <c r="J134">
        <f>HOUR(Table1[[#This Row],[START_DATE]])</f>
        <v>16</v>
      </c>
      <c r="K134" s="2">
        <f t="shared" si="4"/>
        <v>42419</v>
      </c>
      <c r="L134" t="str">
        <f t="shared" si="5"/>
        <v>Friday</v>
      </c>
    </row>
    <row r="135" spans="1:12" x14ac:dyDescent="0.35">
      <c r="A135" s="1">
        <v>42419.714583333334</v>
      </c>
      <c r="B135" s="1">
        <v>42419.722222222219</v>
      </c>
      <c r="C135" t="s">
        <v>7</v>
      </c>
      <c r="D135" t="s">
        <v>68</v>
      </c>
      <c r="E135" t="s">
        <v>68</v>
      </c>
      <c r="F135">
        <v>4.2</v>
      </c>
      <c r="J135">
        <f>HOUR(Table1[[#This Row],[START_DATE]])</f>
        <v>17</v>
      </c>
      <c r="K135" s="2">
        <f t="shared" si="4"/>
        <v>42419</v>
      </c>
      <c r="L135" t="str">
        <f t="shared" si="5"/>
        <v>Friday</v>
      </c>
    </row>
    <row r="136" spans="1:12" x14ac:dyDescent="0.35">
      <c r="A136" s="1">
        <v>42419.838888888888</v>
      </c>
      <c r="B136" s="1">
        <v>42419.854166666664</v>
      </c>
      <c r="C136" t="s">
        <v>55</v>
      </c>
      <c r="D136" t="s">
        <v>68</v>
      </c>
      <c r="E136" t="s">
        <v>65</v>
      </c>
      <c r="F136">
        <v>13.6</v>
      </c>
      <c r="J136">
        <f>HOUR(Table1[[#This Row],[START_DATE]])</f>
        <v>20</v>
      </c>
      <c r="K136" s="2">
        <f t="shared" si="4"/>
        <v>42419</v>
      </c>
      <c r="L136" t="str">
        <f t="shared" si="5"/>
        <v>Friday</v>
      </c>
    </row>
    <row r="137" spans="1:12" x14ac:dyDescent="0.35">
      <c r="A137" s="1">
        <v>42419.856944444444</v>
      </c>
      <c r="B137" s="1">
        <v>42419.868750000001</v>
      </c>
      <c r="C137" t="s">
        <v>55</v>
      </c>
      <c r="D137" t="s">
        <v>65</v>
      </c>
      <c r="E137" t="s">
        <v>65</v>
      </c>
      <c r="F137">
        <v>2.5</v>
      </c>
      <c r="J137">
        <f>HOUR(Table1[[#This Row],[START_DATE]])</f>
        <v>20</v>
      </c>
      <c r="K137" s="2">
        <f t="shared" si="4"/>
        <v>42419</v>
      </c>
      <c r="L137" t="str">
        <f t="shared" si="5"/>
        <v>Friday</v>
      </c>
    </row>
    <row r="138" spans="1:12" x14ac:dyDescent="0.35">
      <c r="A138" s="1">
        <v>42420.332638888889</v>
      </c>
      <c r="B138" s="1">
        <v>42420.355555555558</v>
      </c>
      <c r="C138" t="s">
        <v>55</v>
      </c>
      <c r="D138" t="s">
        <v>65</v>
      </c>
      <c r="E138" t="s">
        <v>68</v>
      </c>
      <c r="F138">
        <v>14.4</v>
      </c>
      <c r="J138">
        <f>HOUR(Table1[[#This Row],[START_DATE]])</f>
        <v>7</v>
      </c>
      <c r="K138" s="2">
        <f t="shared" si="4"/>
        <v>42420</v>
      </c>
      <c r="L138" t="str">
        <f t="shared" si="5"/>
        <v>Saturday</v>
      </c>
    </row>
    <row r="139" spans="1:12" x14ac:dyDescent="0.35">
      <c r="A139" s="1">
        <v>42420.45</v>
      </c>
      <c r="B139" s="1">
        <v>42420.455555555556</v>
      </c>
      <c r="C139" t="s">
        <v>55</v>
      </c>
      <c r="D139" t="s">
        <v>68</v>
      </c>
      <c r="E139" t="s">
        <v>68</v>
      </c>
      <c r="F139">
        <v>3</v>
      </c>
      <c r="J139">
        <f>HOUR(Table1[[#This Row],[START_DATE]])</f>
        <v>10</v>
      </c>
      <c r="K139" s="2">
        <f t="shared" si="4"/>
        <v>42420</v>
      </c>
      <c r="L139" t="str">
        <f t="shared" si="5"/>
        <v>Saturday</v>
      </c>
    </row>
    <row r="140" spans="1:12" x14ac:dyDescent="0.35">
      <c r="A140" s="1">
        <v>42420.489583333336</v>
      </c>
      <c r="B140" s="1">
        <v>42420.495138888888</v>
      </c>
      <c r="C140" t="s">
        <v>55</v>
      </c>
      <c r="D140" t="s">
        <v>68</v>
      </c>
      <c r="E140" t="s">
        <v>68</v>
      </c>
      <c r="F140">
        <v>1.5</v>
      </c>
      <c r="J140">
        <f>HOUR(Table1[[#This Row],[START_DATE]])</f>
        <v>11</v>
      </c>
      <c r="K140" s="2">
        <f t="shared" si="4"/>
        <v>42420</v>
      </c>
      <c r="L140" t="str">
        <f t="shared" si="5"/>
        <v>Saturday</v>
      </c>
    </row>
    <row r="141" spans="1:12" x14ac:dyDescent="0.35">
      <c r="A141" s="1">
        <v>42420.52847222222</v>
      </c>
      <c r="B141" s="1">
        <v>42420.553472222222</v>
      </c>
      <c r="C141" t="s">
        <v>7</v>
      </c>
      <c r="D141" t="s">
        <v>68</v>
      </c>
      <c r="E141" t="s">
        <v>69</v>
      </c>
      <c r="F141">
        <v>18.399999999999999</v>
      </c>
      <c r="J141">
        <f>HOUR(Table1[[#This Row],[START_DATE]])</f>
        <v>12</v>
      </c>
      <c r="K141" s="2">
        <f t="shared" si="4"/>
        <v>42420</v>
      </c>
      <c r="L141" t="str">
        <f t="shared" si="5"/>
        <v>Saturday</v>
      </c>
    </row>
    <row r="142" spans="1:12" x14ac:dyDescent="0.35">
      <c r="A142" s="1">
        <v>42420.618055555555</v>
      </c>
      <c r="B142" s="1">
        <v>42420.662499999999</v>
      </c>
      <c r="C142" t="s">
        <v>7</v>
      </c>
      <c r="D142" t="s">
        <v>69</v>
      </c>
      <c r="E142" t="s">
        <v>69</v>
      </c>
      <c r="F142">
        <v>23.1</v>
      </c>
      <c r="G142" t="s">
        <v>11</v>
      </c>
      <c r="J142">
        <f>HOUR(Table1[[#This Row],[START_DATE]])</f>
        <v>14</v>
      </c>
      <c r="K142" s="2">
        <f t="shared" si="4"/>
        <v>42420</v>
      </c>
      <c r="L142" t="str">
        <f t="shared" si="5"/>
        <v>Saturday</v>
      </c>
    </row>
    <row r="143" spans="1:12" x14ac:dyDescent="0.35">
      <c r="A143" s="1">
        <v>42420.707638888889</v>
      </c>
      <c r="B143" s="1">
        <v>42420.745833333334</v>
      </c>
      <c r="C143" t="s">
        <v>55</v>
      </c>
      <c r="D143" t="s">
        <v>69</v>
      </c>
      <c r="E143" t="s">
        <v>65</v>
      </c>
      <c r="F143">
        <v>16.5</v>
      </c>
      <c r="J143">
        <f>HOUR(Table1[[#This Row],[START_DATE]])</f>
        <v>16</v>
      </c>
      <c r="K143" s="2">
        <f t="shared" si="4"/>
        <v>42420</v>
      </c>
      <c r="L143" t="str">
        <f t="shared" si="5"/>
        <v>Saturday</v>
      </c>
    </row>
    <row r="144" spans="1:12" x14ac:dyDescent="0.35">
      <c r="A144" s="1">
        <v>42420.75</v>
      </c>
      <c r="B144" s="1">
        <v>42420.752083333333</v>
      </c>
      <c r="C144" t="s">
        <v>7</v>
      </c>
      <c r="D144" t="s">
        <v>65</v>
      </c>
      <c r="E144" t="s">
        <v>65</v>
      </c>
      <c r="F144">
        <v>3.2</v>
      </c>
      <c r="G144" t="s">
        <v>10</v>
      </c>
      <c r="J144">
        <f>HOUR(Table1[[#This Row],[START_DATE]])</f>
        <v>18</v>
      </c>
      <c r="K144" s="2">
        <f t="shared" si="4"/>
        <v>42420</v>
      </c>
      <c r="L144" t="str">
        <f t="shared" si="5"/>
        <v>Saturday</v>
      </c>
    </row>
    <row r="145" spans="1:12" x14ac:dyDescent="0.35">
      <c r="A145" s="1">
        <v>42420.811111111114</v>
      </c>
      <c r="B145" s="1">
        <v>42420.825694444444</v>
      </c>
      <c r="C145" t="s">
        <v>7</v>
      </c>
      <c r="D145" t="s">
        <v>65</v>
      </c>
      <c r="E145" t="s">
        <v>65</v>
      </c>
      <c r="F145">
        <v>7.7</v>
      </c>
      <c r="G145" t="s">
        <v>10</v>
      </c>
      <c r="J145">
        <f>HOUR(Table1[[#This Row],[START_DATE]])</f>
        <v>19</v>
      </c>
      <c r="K145" s="2">
        <f t="shared" si="4"/>
        <v>42420</v>
      </c>
      <c r="L145" t="str">
        <f t="shared" si="5"/>
        <v>Saturday</v>
      </c>
    </row>
    <row r="146" spans="1:12" x14ac:dyDescent="0.35">
      <c r="A146" s="1">
        <v>42421.379861111112</v>
      </c>
      <c r="B146" s="1">
        <v>42421.406944444447</v>
      </c>
      <c r="C146" t="s">
        <v>7</v>
      </c>
      <c r="D146" t="s">
        <v>65</v>
      </c>
      <c r="E146" t="s">
        <v>68</v>
      </c>
      <c r="F146">
        <v>14.5</v>
      </c>
      <c r="J146">
        <f>HOUR(Table1[[#This Row],[START_DATE]])</f>
        <v>9</v>
      </c>
      <c r="K146" s="2">
        <f t="shared" si="4"/>
        <v>42421</v>
      </c>
      <c r="L146" t="str">
        <f t="shared" si="5"/>
        <v>Sunday</v>
      </c>
    </row>
    <row r="147" spans="1:12" x14ac:dyDescent="0.35">
      <c r="A147" s="1">
        <v>42421.48541666667</v>
      </c>
      <c r="B147" s="1">
        <v>42421.488194444442</v>
      </c>
      <c r="C147" t="s">
        <v>7</v>
      </c>
      <c r="D147" t="s">
        <v>65</v>
      </c>
      <c r="E147" t="s">
        <v>68</v>
      </c>
      <c r="F147">
        <v>2.4</v>
      </c>
      <c r="G147" t="s">
        <v>10</v>
      </c>
      <c r="J147">
        <f>HOUR(Table1[[#This Row],[START_DATE]])</f>
        <v>11</v>
      </c>
      <c r="K147" s="2">
        <f t="shared" si="4"/>
        <v>42421</v>
      </c>
      <c r="L147" t="str">
        <f t="shared" si="5"/>
        <v>Sunday</v>
      </c>
    </row>
    <row r="148" spans="1:12" x14ac:dyDescent="0.35">
      <c r="A148" s="1">
        <v>42421.490972222222</v>
      </c>
      <c r="B148" s="1">
        <v>42421.500694444447</v>
      </c>
      <c r="C148" t="s">
        <v>7</v>
      </c>
      <c r="D148" t="s">
        <v>68</v>
      </c>
      <c r="E148" t="s">
        <v>68</v>
      </c>
      <c r="F148">
        <v>4.5999999999999996</v>
      </c>
      <c r="G148" t="s">
        <v>10</v>
      </c>
      <c r="J148">
        <f>HOUR(Table1[[#This Row],[START_DATE]])</f>
        <v>11</v>
      </c>
      <c r="K148" s="2">
        <f t="shared" si="4"/>
        <v>42421</v>
      </c>
      <c r="L148" t="str">
        <f t="shared" si="5"/>
        <v>Sunday</v>
      </c>
    </row>
    <row r="149" spans="1:12" x14ac:dyDescent="0.35">
      <c r="A149" s="1">
        <v>42421.509027777778</v>
      </c>
      <c r="B149" s="1">
        <v>42421.524305555555</v>
      </c>
      <c r="C149" t="s">
        <v>7</v>
      </c>
      <c r="D149" t="s">
        <v>68</v>
      </c>
      <c r="E149" t="s">
        <v>65</v>
      </c>
      <c r="F149">
        <v>8.8000000000000007</v>
      </c>
      <c r="G149" t="s">
        <v>9</v>
      </c>
      <c r="J149">
        <f>HOUR(Table1[[#This Row],[START_DATE]])</f>
        <v>12</v>
      </c>
      <c r="K149" s="2">
        <f t="shared" si="4"/>
        <v>42421</v>
      </c>
      <c r="L149" t="str">
        <f t="shared" si="5"/>
        <v>Sunday</v>
      </c>
    </row>
    <row r="150" spans="1:12" x14ac:dyDescent="0.35">
      <c r="A150" s="1">
        <v>42421.535416666666</v>
      </c>
      <c r="B150" s="1">
        <v>42421.55</v>
      </c>
      <c r="C150" t="s">
        <v>7</v>
      </c>
      <c r="D150" t="s">
        <v>65</v>
      </c>
      <c r="E150" t="s">
        <v>65</v>
      </c>
      <c r="F150">
        <v>8.3000000000000007</v>
      </c>
      <c r="G150" t="s">
        <v>24</v>
      </c>
      <c r="J150">
        <f>HOUR(Table1[[#This Row],[START_DATE]])</f>
        <v>12</v>
      </c>
      <c r="K150" s="2">
        <f t="shared" si="4"/>
        <v>42421</v>
      </c>
      <c r="L150" t="str">
        <f t="shared" si="5"/>
        <v>Sunday</v>
      </c>
    </row>
    <row r="151" spans="1:12" x14ac:dyDescent="0.35">
      <c r="A151" s="1">
        <v>42421.564583333333</v>
      </c>
      <c r="B151" s="1">
        <v>42421.604166666664</v>
      </c>
      <c r="C151" t="s">
        <v>7</v>
      </c>
      <c r="D151" t="s">
        <v>65</v>
      </c>
      <c r="E151" t="s">
        <v>65</v>
      </c>
      <c r="F151">
        <v>22.7</v>
      </c>
      <c r="G151" t="s">
        <v>24</v>
      </c>
      <c r="J151">
        <f>HOUR(Table1[[#This Row],[START_DATE]])</f>
        <v>13</v>
      </c>
      <c r="K151" s="2">
        <f t="shared" si="4"/>
        <v>42421</v>
      </c>
      <c r="L151" t="str">
        <f t="shared" si="5"/>
        <v>Sunday</v>
      </c>
    </row>
    <row r="152" spans="1:12" x14ac:dyDescent="0.35">
      <c r="A152" s="1">
        <v>42421.60833333333</v>
      </c>
      <c r="B152" s="1">
        <v>42421.627083333333</v>
      </c>
      <c r="C152" t="s">
        <v>7</v>
      </c>
      <c r="D152" t="s">
        <v>65</v>
      </c>
      <c r="E152" t="s">
        <v>68</v>
      </c>
      <c r="F152">
        <v>13</v>
      </c>
      <c r="G152" t="s">
        <v>24</v>
      </c>
      <c r="J152">
        <f>HOUR(Table1[[#This Row],[START_DATE]])</f>
        <v>14</v>
      </c>
      <c r="K152" s="2">
        <f t="shared" si="4"/>
        <v>42421</v>
      </c>
      <c r="L152" t="str">
        <f t="shared" si="5"/>
        <v>Sunday</v>
      </c>
    </row>
    <row r="153" spans="1:12" x14ac:dyDescent="0.35">
      <c r="A153" s="1">
        <v>42421.634722222225</v>
      </c>
      <c r="B153" s="1">
        <v>42421.646527777775</v>
      </c>
      <c r="C153" t="s">
        <v>7</v>
      </c>
      <c r="D153" t="s">
        <v>68</v>
      </c>
      <c r="E153" t="s">
        <v>70</v>
      </c>
      <c r="F153">
        <v>8.1</v>
      </c>
      <c r="G153" t="s">
        <v>24</v>
      </c>
      <c r="J153">
        <f>HOUR(Table1[[#This Row],[START_DATE]])</f>
        <v>15</v>
      </c>
      <c r="K153" s="2">
        <f t="shared" si="4"/>
        <v>42421</v>
      </c>
      <c r="L153" t="str">
        <f t="shared" si="5"/>
        <v>Sunday</v>
      </c>
    </row>
    <row r="154" spans="1:12" x14ac:dyDescent="0.35">
      <c r="A154" s="1">
        <v>42421.65</v>
      </c>
      <c r="B154" s="1">
        <v>42421.65347222222</v>
      </c>
      <c r="C154" t="s">
        <v>7</v>
      </c>
      <c r="D154" t="s">
        <v>70</v>
      </c>
      <c r="E154" t="s">
        <v>65</v>
      </c>
      <c r="F154">
        <v>2.2000000000000002</v>
      </c>
      <c r="G154" t="s">
        <v>9</v>
      </c>
      <c r="J154">
        <f>HOUR(Table1[[#This Row],[START_DATE]])</f>
        <v>15</v>
      </c>
      <c r="K154" s="2">
        <f t="shared" si="4"/>
        <v>42421</v>
      </c>
      <c r="L154" t="str">
        <f t="shared" si="5"/>
        <v>Sunday</v>
      </c>
    </row>
    <row r="155" spans="1:12" x14ac:dyDescent="0.35">
      <c r="A155" s="1">
        <v>42421.669444444444</v>
      </c>
      <c r="B155" s="1">
        <v>42421.688888888886</v>
      </c>
      <c r="C155" t="s">
        <v>7</v>
      </c>
      <c r="D155" t="s">
        <v>65</v>
      </c>
      <c r="E155" t="s">
        <v>65</v>
      </c>
      <c r="F155">
        <v>9.6999999999999993</v>
      </c>
      <c r="J155">
        <f>HOUR(Table1[[#This Row],[START_DATE]])</f>
        <v>16</v>
      </c>
      <c r="K155" s="2">
        <f t="shared" si="4"/>
        <v>42421</v>
      </c>
      <c r="L155" t="str">
        <f t="shared" si="5"/>
        <v>Sunday</v>
      </c>
    </row>
    <row r="156" spans="1:12" x14ac:dyDescent="0.35">
      <c r="A156" s="1">
        <v>42421.96875</v>
      </c>
      <c r="B156" s="1">
        <v>42421.994444444441</v>
      </c>
      <c r="C156" t="s">
        <v>7</v>
      </c>
      <c r="D156" t="s">
        <v>65</v>
      </c>
      <c r="E156" t="s">
        <v>69</v>
      </c>
      <c r="F156">
        <v>20</v>
      </c>
      <c r="G156" t="s">
        <v>11</v>
      </c>
      <c r="J156">
        <f>HOUR(Table1[[#This Row],[START_DATE]])</f>
        <v>23</v>
      </c>
      <c r="K156" s="2">
        <f t="shared" si="4"/>
        <v>42421</v>
      </c>
      <c r="L156" t="str">
        <f t="shared" si="5"/>
        <v>Sunday</v>
      </c>
    </row>
    <row r="157" spans="1:12" x14ac:dyDescent="0.35">
      <c r="A157" s="1">
        <v>42422.912499999999</v>
      </c>
      <c r="B157" s="1">
        <v>42422.92291666667</v>
      </c>
      <c r="C157" t="s">
        <v>7</v>
      </c>
      <c r="D157" t="s">
        <v>16</v>
      </c>
      <c r="E157" t="s">
        <v>15</v>
      </c>
      <c r="F157">
        <v>8.1</v>
      </c>
      <c r="G157" t="s">
        <v>13</v>
      </c>
      <c r="J157">
        <f>HOUR(Table1[[#This Row],[START_DATE]])</f>
        <v>21</v>
      </c>
      <c r="K157" s="2">
        <f t="shared" si="4"/>
        <v>42422</v>
      </c>
      <c r="L157" t="str">
        <f t="shared" si="5"/>
        <v>Monday</v>
      </c>
    </row>
    <row r="158" spans="1:12" x14ac:dyDescent="0.35">
      <c r="A158" s="1">
        <v>42424.604166666664</v>
      </c>
      <c r="B158" s="1">
        <v>42424.607638888891</v>
      </c>
      <c r="C158" t="s">
        <v>7</v>
      </c>
      <c r="D158" t="s">
        <v>38</v>
      </c>
      <c r="E158" t="s">
        <v>57</v>
      </c>
      <c r="F158">
        <v>1.5</v>
      </c>
      <c r="J158">
        <f>HOUR(Table1[[#This Row],[START_DATE]])</f>
        <v>14</v>
      </c>
      <c r="K158" s="2">
        <f t="shared" si="4"/>
        <v>42424</v>
      </c>
      <c r="L158" t="str">
        <f t="shared" si="5"/>
        <v>Wednesday</v>
      </c>
    </row>
    <row r="159" spans="1:12" x14ac:dyDescent="0.35">
      <c r="A159" s="1">
        <v>42424.638194444444</v>
      </c>
      <c r="B159" s="1">
        <v>42424.642361111109</v>
      </c>
      <c r="C159" t="s">
        <v>7</v>
      </c>
      <c r="D159" t="s">
        <v>57</v>
      </c>
      <c r="E159" t="s">
        <v>38</v>
      </c>
      <c r="F159">
        <v>1.7</v>
      </c>
      <c r="G159" t="s">
        <v>10</v>
      </c>
      <c r="J159">
        <f>HOUR(Table1[[#This Row],[START_DATE]])</f>
        <v>15</v>
      </c>
      <c r="K159" s="2">
        <f t="shared" si="4"/>
        <v>42424</v>
      </c>
      <c r="L159" t="str">
        <f t="shared" si="5"/>
        <v>Wednesday</v>
      </c>
    </row>
    <row r="160" spans="1:12" x14ac:dyDescent="0.35">
      <c r="A160" s="1">
        <v>42425.685416666667</v>
      </c>
      <c r="B160" s="1">
        <v>42425.690972222219</v>
      </c>
      <c r="C160" t="s">
        <v>7</v>
      </c>
      <c r="D160" t="s">
        <v>38</v>
      </c>
      <c r="E160" t="s">
        <v>71</v>
      </c>
      <c r="F160">
        <v>3.1</v>
      </c>
      <c r="G160" t="s">
        <v>10</v>
      </c>
      <c r="J160">
        <f>HOUR(Table1[[#This Row],[START_DATE]])</f>
        <v>16</v>
      </c>
      <c r="K160" s="2">
        <f t="shared" si="4"/>
        <v>42425</v>
      </c>
      <c r="L160" t="str">
        <f t="shared" si="5"/>
        <v>Thursday</v>
      </c>
    </row>
    <row r="161" spans="1:12" x14ac:dyDescent="0.35">
      <c r="A161" s="1">
        <v>42425.699305555558</v>
      </c>
      <c r="B161" s="1">
        <v>42425.709722222222</v>
      </c>
      <c r="C161" t="s">
        <v>7</v>
      </c>
      <c r="D161" t="s">
        <v>71</v>
      </c>
      <c r="E161" t="s">
        <v>38</v>
      </c>
      <c r="F161">
        <v>3.2</v>
      </c>
      <c r="G161" t="s">
        <v>10</v>
      </c>
      <c r="J161">
        <f>HOUR(Table1[[#This Row],[START_DATE]])</f>
        <v>16</v>
      </c>
      <c r="K161" s="2">
        <f t="shared" si="4"/>
        <v>42425</v>
      </c>
      <c r="L161" t="str">
        <f t="shared" si="5"/>
        <v>Thursday</v>
      </c>
    </row>
    <row r="162" spans="1:12" x14ac:dyDescent="0.35">
      <c r="A162" s="1">
        <v>42425.719444444447</v>
      </c>
      <c r="B162" s="1">
        <v>42425.73333333333</v>
      </c>
      <c r="C162" t="s">
        <v>7</v>
      </c>
      <c r="D162" t="s">
        <v>38</v>
      </c>
      <c r="E162" t="s">
        <v>56</v>
      </c>
      <c r="F162">
        <v>6</v>
      </c>
      <c r="G162" t="s">
        <v>9</v>
      </c>
      <c r="J162">
        <f>HOUR(Table1[[#This Row],[START_DATE]])</f>
        <v>17</v>
      </c>
      <c r="K162" s="2">
        <f t="shared" si="4"/>
        <v>42425</v>
      </c>
      <c r="L162" t="str">
        <f t="shared" si="5"/>
        <v>Thursday</v>
      </c>
    </row>
    <row r="163" spans="1:12" x14ac:dyDescent="0.35">
      <c r="A163" s="1">
        <v>42425.765277777777</v>
      </c>
      <c r="B163" s="1">
        <v>42425.777083333334</v>
      </c>
      <c r="C163" t="s">
        <v>7</v>
      </c>
      <c r="D163" t="s">
        <v>56</v>
      </c>
      <c r="E163" t="s">
        <v>38</v>
      </c>
      <c r="F163">
        <v>5.8</v>
      </c>
      <c r="G163" t="s">
        <v>9</v>
      </c>
      <c r="J163">
        <f>HOUR(Table1[[#This Row],[START_DATE]])</f>
        <v>18</v>
      </c>
      <c r="K163" s="2">
        <f t="shared" si="4"/>
        <v>42425</v>
      </c>
      <c r="L163" t="str">
        <f t="shared" si="5"/>
        <v>Thursday</v>
      </c>
    </row>
    <row r="164" spans="1:12" x14ac:dyDescent="0.35">
      <c r="A164" s="1">
        <v>42426.379166666666</v>
      </c>
      <c r="B164" s="1">
        <v>42426.395138888889</v>
      </c>
      <c r="C164" t="s">
        <v>7</v>
      </c>
      <c r="D164" t="s">
        <v>38</v>
      </c>
      <c r="E164" t="s">
        <v>44</v>
      </c>
      <c r="F164">
        <v>6.3</v>
      </c>
      <c r="J164">
        <f>HOUR(Table1[[#This Row],[START_DATE]])</f>
        <v>9</v>
      </c>
      <c r="K164" s="2">
        <f t="shared" si="4"/>
        <v>42426</v>
      </c>
      <c r="L164" t="str">
        <f t="shared" si="5"/>
        <v>Friday</v>
      </c>
    </row>
    <row r="165" spans="1:12" x14ac:dyDescent="0.35">
      <c r="A165" s="1">
        <v>42426.461805555555</v>
      </c>
      <c r="B165" s="1">
        <v>42426.46597222222</v>
      </c>
      <c r="C165" t="s">
        <v>55</v>
      </c>
      <c r="D165" t="s">
        <v>44</v>
      </c>
      <c r="E165" t="s">
        <v>38</v>
      </c>
      <c r="F165">
        <v>1.7</v>
      </c>
      <c r="J165">
        <f>HOUR(Table1[[#This Row],[START_DATE]])</f>
        <v>11</v>
      </c>
      <c r="K165" s="2">
        <f t="shared" si="4"/>
        <v>42426</v>
      </c>
      <c r="L165" t="str">
        <f t="shared" si="5"/>
        <v>Friday</v>
      </c>
    </row>
    <row r="166" spans="1:12" x14ac:dyDescent="0.35">
      <c r="A166" s="1">
        <v>42426.482638888891</v>
      </c>
      <c r="B166" s="1">
        <v>42426.499305555553</v>
      </c>
      <c r="C166" t="s">
        <v>7</v>
      </c>
      <c r="D166" t="s">
        <v>15</v>
      </c>
      <c r="E166" t="s">
        <v>36</v>
      </c>
      <c r="F166">
        <v>10.6</v>
      </c>
      <c r="G166" t="s">
        <v>11</v>
      </c>
      <c r="J166">
        <f>HOUR(Table1[[#This Row],[START_DATE]])</f>
        <v>11</v>
      </c>
      <c r="K166" s="2">
        <f t="shared" si="4"/>
        <v>42426</v>
      </c>
      <c r="L166" t="str">
        <f t="shared" si="5"/>
        <v>Friday</v>
      </c>
    </row>
    <row r="167" spans="1:12" x14ac:dyDescent="0.35">
      <c r="A167" s="1">
        <v>42426.542361111111</v>
      </c>
      <c r="B167" s="1">
        <v>42426.558333333334</v>
      </c>
      <c r="C167" t="s">
        <v>7</v>
      </c>
      <c r="D167" t="s">
        <v>36</v>
      </c>
      <c r="E167" t="s">
        <v>15</v>
      </c>
      <c r="F167">
        <v>9.9</v>
      </c>
      <c r="G167" t="s">
        <v>11</v>
      </c>
      <c r="J167">
        <f>HOUR(Table1[[#This Row],[START_DATE]])</f>
        <v>13</v>
      </c>
      <c r="K167" s="2">
        <f t="shared" si="4"/>
        <v>42426</v>
      </c>
      <c r="L167" t="str">
        <f t="shared" si="5"/>
        <v>Friday</v>
      </c>
    </row>
    <row r="168" spans="1:12" x14ac:dyDescent="0.35">
      <c r="A168" s="1">
        <v>42426.609722222223</v>
      </c>
      <c r="B168" s="1">
        <v>42426.615277777775</v>
      </c>
      <c r="C168" t="s">
        <v>55</v>
      </c>
      <c r="D168" t="s">
        <v>38</v>
      </c>
      <c r="E168" t="s">
        <v>44</v>
      </c>
      <c r="F168">
        <v>1.9</v>
      </c>
      <c r="J168">
        <f>HOUR(Table1[[#This Row],[START_DATE]])</f>
        <v>14</v>
      </c>
      <c r="K168" s="2">
        <f t="shared" si="4"/>
        <v>42426</v>
      </c>
      <c r="L168" t="str">
        <f t="shared" si="5"/>
        <v>Friday</v>
      </c>
    </row>
    <row r="169" spans="1:12" x14ac:dyDescent="0.35">
      <c r="A169" s="1">
        <v>42426.625</v>
      </c>
      <c r="B169" s="1">
        <v>42426.637499999997</v>
      </c>
      <c r="C169" t="s">
        <v>55</v>
      </c>
      <c r="D169" t="s">
        <v>44</v>
      </c>
      <c r="E169" t="s">
        <v>43</v>
      </c>
      <c r="F169">
        <v>4.2</v>
      </c>
      <c r="J169">
        <f>HOUR(Table1[[#This Row],[START_DATE]])</f>
        <v>15</v>
      </c>
      <c r="K169" s="2">
        <f t="shared" si="4"/>
        <v>42426</v>
      </c>
      <c r="L169" t="str">
        <f t="shared" si="5"/>
        <v>Friday</v>
      </c>
    </row>
    <row r="170" spans="1:12" x14ac:dyDescent="0.35">
      <c r="A170" s="1">
        <v>42426.709027777775</v>
      </c>
      <c r="B170" s="1">
        <v>42426.716666666667</v>
      </c>
      <c r="C170" t="s">
        <v>55</v>
      </c>
      <c r="D170" t="s">
        <v>43</v>
      </c>
      <c r="E170" t="s">
        <v>38</v>
      </c>
      <c r="F170">
        <v>2</v>
      </c>
      <c r="J170">
        <f>HOUR(Table1[[#This Row],[START_DATE]])</f>
        <v>17</v>
      </c>
      <c r="K170" s="2">
        <f t="shared" si="4"/>
        <v>42426</v>
      </c>
      <c r="L170" t="str">
        <f t="shared" si="5"/>
        <v>Friday</v>
      </c>
    </row>
    <row r="171" spans="1:12" x14ac:dyDescent="0.35">
      <c r="A171" s="1">
        <v>42428.223611111112</v>
      </c>
      <c r="B171" s="1">
        <v>42428.234722222223</v>
      </c>
      <c r="C171" t="s">
        <v>7</v>
      </c>
      <c r="D171" t="s">
        <v>38</v>
      </c>
      <c r="E171" t="s">
        <v>72</v>
      </c>
      <c r="F171">
        <v>7.7</v>
      </c>
      <c r="G171" t="s">
        <v>11</v>
      </c>
      <c r="J171">
        <f>HOUR(Table1[[#This Row],[START_DATE]])</f>
        <v>5</v>
      </c>
      <c r="K171" s="2">
        <f t="shared" si="4"/>
        <v>42428</v>
      </c>
      <c r="L171" t="str">
        <f t="shared" si="5"/>
        <v>Sunday</v>
      </c>
    </row>
    <row r="172" spans="1:12" x14ac:dyDescent="0.35">
      <c r="A172" s="1">
        <v>42428.393055555556</v>
      </c>
      <c r="B172" s="1">
        <v>42428.404166666667</v>
      </c>
      <c r="C172" t="s">
        <v>7</v>
      </c>
      <c r="D172" t="s">
        <v>72</v>
      </c>
      <c r="E172" t="s">
        <v>38</v>
      </c>
      <c r="F172">
        <v>6.8</v>
      </c>
      <c r="G172" t="s">
        <v>11</v>
      </c>
      <c r="J172">
        <f>HOUR(Table1[[#This Row],[START_DATE]])</f>
        <v>9</v>
      </c>
      <c r="K172" s="2">
        <f t="shared" si="4"/>
        <v>42428</v>
      </c>
      <c r="L172" t="str">
        <f t="shared" si="5"/>
        <v>Sunday</v>
      </c>
    </row>
    <row r="173" spans="1:12" x14ac:dyDescent="0.35">
      <c r="A173" s="1">
        <v>42429.463194444441</v>
      </c>
      <c r="B173" s="1">
        <v>42429.468055555553</v>
      </c>
      <c r="C173" t="s">
        <v>55</v>
      </c>
      <c r="D173" t="s">
        <v>38</v>
      </c>
      <c r="E173" t="s">
        <v>44</v>
      </c>
      <c r="F173">
        <v>2.1</v>
      </c>
      <c r="J173">
        <f>HOUR(Table1[[#This Row],[START_DATE]])</f>
        <v>11</v>
      </c>
      <c r="K173" s="2">
        <f t="shared" si="4"/>
        <v>42429</v>
      </c>
      <c r="L173" t="str">
        <f t="shared" si="5"/>
        <v>Monday</v>
      </c>
    </row>
    <row r="174" spans="1:12" x14ac:dyDescent="0.35">
      <c r="A174" s="1">
        <v>42429.479166666664</v>
      </c>
      <c r="B174" s="1">
        <v>42429.486111111109</v>
      </c>
      <c r="C174" t="s">
        <v>7</v>
      </c>
      <c r="D174" t="s">
        <v>15</v>
      </c>
      <c r="E174" t="s">
        <v>48</v>
      </c>
      <c r="F174">
        <v>3.8</v>
      </c>
      <c r="G174" t="s">
        <v>11</v>
      </c>
      <c r="J174">
        <f>HOUR(Table1[[#This Row],[START_DATE]])</f>
        <v>11</v>
      </c>
      <c r="K174" s="2">
        <f t="shared" si="4"/>
        <v>42429</v>
      </c>
      <c r="L174" t="str">
        <f t="shared" si="5"/>
        <v>Monday</v>
      </c>
    </row>
    <row r="175" spans="1:12" x14ac:dyDescent="0.35">
      <c r="A175" s="1">
        <v>42429.525000000001</v>
      </c>
      <c r="B175" s="1">
        <v>42429.533333333333</v>
      </c>
      <c r="C175" t="s">
        <v>7</v>
      </c>
      <c r="D175" t="s">
        <v>48</v>
      </c>
      <c r="E175" t="s">
        <v>15</v>
      </c>
      <c r="F175">
        <v>5.6</v>
      </c>
      <c r="G175" t="s">
        <v>11</v>
      </c>
      <c r="J175">
        <f>HOUR(Table1[[#This Row],[START_DATE]])</f>
        <v>12</v>
      </c>
      <c r="K175" s="2">
        <f t="shared" si="4"/>
        <v>42429</v>
      </c>
      <c r="L175" t="str">
        <f t="shared" si="5"/>
        <v>Monday</v>
      </c>
    </row>
    <row r="176" spans="1:12" x14ac:dyDescent="0.35">
      <c r="A176" s="1">
        <v>42429.621527777781</v>
      </c>
      <c r="B176" s="1">
        <v>42429.627083333333</v>
      </c>
      <c r="C176" t="s">
        <v>7</v>
      </c>
      <c r="D176" t="s">
        <v>38</v>
      </c>
      <c r="E176" t="s">
        <v>43</v>
      </c>
      <c r="F176">
        <v>2.6</v>
      </c>
      <c r="J176">
        <f>HOUR(Table1[[#This Row],[START_DATE]])</f>
        <v>14</v>
      </c>
      <c r="K176" s="2">
        <f t="shared" si="4"/>
        <v>42429</v>
      </c>
      <c r="L176" t="str">
        <f t="shared" si="5"/>
        <v>Monday</v>
      </c>
    </row>
    <row r="177" spans="1:12" x14ac:dyDescent="0.35">
      <c r="A177" s="1">
        <v>42429.694444444445</v>
      </c>
      <c r="B177" s="1">
        <v>42429.708333333336</v>
      </c>
      <c r="C177" t="s">
        <v>7</v>
      </c>
      <c r="D177" t="s">
        <v>43</v>
      </c>
      <c r="E177" t="s">
        <v>38</v>
      </c>
      <c r="F177">
        <v>6.6</v>
      </c>
      <c r="G177" t="s">
        <v>13</v>
      </c>
      <c r="J177">
        <f>HOUR(Table1[[#This Row],[START_DATE]])</f>
        <v>16</v>
      </c>
      <c r="K177" s="2">
        <f t="shared" si="4"/>
        <v>42429</v>
      </c>
      <c r="L177" t="str">
        <f t="shared" si="5"/>
        <v>Monday</v>
      </c>
    </row>
    <row r="178" spans="1:12" x14ac:dyDescent="0.35">
      <c r="A178" s="1">
        <v>42430.782638888886</v>
      </c>
      <c r="B178" s="1">
        <v>42430.798611111109</v>
      </c>
      <c r="C178" t="s">
        <v>7</v>
      </c>
      <c r="D178" t="s">
        <v>38</v>
      </c>
      <c r="E178" t="s">
        <v>73</v>
      </c>
      <c r="F178">
        <v>8</v>
      </c>
      <c r="G178" t="s">
        <v>9</v>
      </c>
      <c r="J178">
        <f>HOUR(Table1[[#This Row],[START_DATE]])</f>
        <v>18</v>
      </c>
      <c r="K178" s="2">
        <f t="shared" si="4"/>
        <v>42430</v>
      </c>
      <c r="L178" t="str">
        <f t="shared" si="5"/>
        <v>Tuesday</v>
      </c>
    </row>
    <row r="179" spans="1:12" x14ac:dyDescent="0.35">
      <c r="A179" s="1">
        <v>42430.893750000003</v>
      </c>
      <c r="B179" s="1">
        <v>42430.90625</v>
      </c>
      <c r="C179" t="s">
        <v>7</v>
      </c>
      <c r="D179" t="s">
        <v>73</v>
      </c>
      <c r="E179" t="s">
        <v>38</v>
      </c>
      <c r="F179">
        <v>8</v>
      </c>
      <c r="G179" t="s">
        <v>11</v>
      </c>
      <c r="J179">
        <f>HOUR(Table1[[#This Row],[START_DATE]])</f>
        <v>21</v>
      </c>
      <c r="K179" s="2">
        <f t="shared" si="4"/>
        <v>42430</v>
      </c>
      <c r="L179" t="str">
        <f t="shared" si="5"/>
        <v>Tuesday</v>
      </c>
    </row>
    <row r="180" spans="1:12" x14ac:dyDescent="0.35">
      <c r="A180" s="1">
        <v>42432.40625</v>
      </c>
      <c r="B180" s="1">
        <v>42432.411111111112</v>
      </c>
      <c r="C180" t="s">
        <v>55</v>
      </c>
      <c r="D180" t="s">
        <v>38</v>
      </c>
      <c r="E180" t="s">
        <v>44</v>
      </c>
      <c r="F180">
        <v>2.2000000000000002</v>
      </c>
      <c r="J180">
        <f>HOUR(Table1[[#This Row],[START_DATE]])</f>
        <v>9</v>
      </c>
      <c r="K180" s="2">
        <f t="shared" si="4"/>
        <v>42432</v>
      </c>
      <c r="L180" t="str">
        <f t="shared" si="5"/>
        <v>Thursday</v>
      </c>
    </row>
    <row r="181" spans="1:12" x14ac:dyDescent="0.35">
      <c r="A181" s="1">
        <v>42432.461111111108</v>
      </c>
      <c r="B181" s="1">
        <v>42432.465277777781</v>
      </c>
      <c r="C181" t="s">
        <v>7</v>
      </c>
      <c r="D181" t="s">
        <v>44</v>
      </c>
      <c r="E181" t="s">
        <v>38</v>
      </c>
      <c r="F181">
        <v>2.2999999999999998</v>
      </c>
      <c r="G181" t="s">
        <v>10</v>
      </c>
      <c r="J181">
        <f>HOUR(Table1[[#This Row],[START_DATE]])</f>
        <v>11</v>
      </c>
      <c r="K181" s="2">
        <f t="shared" si="4"/>
        <v>42432</v>
      </c>
      <c r="L181" t="str">
        <f t="shared" si="5"/>
        <v>Thursday</v>
      </c>
    </row>
    <row r="182" spans="1:12" x14ac:dyDescent="0.35">
      <c r="A182" s="1">
        <v>42432.613888888889</v>
      </c>
      <c r="B182" s="1">
        <v>42432.623611111114</v>
      </c>
      <c r="C182" t="s">
        <v>7</v>
      </c>
      <c r="D182" t="s">
        <v>38</v>
      </c>
      <c r="E182" t="s">
        <v>50</v>
      </c>
      <c r="F182">
        <v>5.2</v>
      </c>
      <c r="G182" t="s">
        <v>9</v>
      </c>
      <c r="J182">
        <f>HOUR(Table1[[#This Row],[START_DATE]])</f>
        <v>14</v>
      </c>
      <c r="K182" s="2">
        <f t="shared" si="4"/>
        <v>42432</v>
      </c>
      <c r="L182" t="str">
        <f t="shared" si="5"/>
        <v>Thursday</v>
      </c>
    </row>
    <row r="183" spans="1:12" x14ac:dyDescent="0.35">
      <c r="A183" s="1">
        <v>42432.643750000003</v>
      </c>
      <c r="B183" s="1">
        <v>42432.658333333333</v>
      </c>
      <c r="C183" t="s">
        <v>7</v>
      </c>
      <c r="D183" t="s">
        <v>15</v>
      </c>
      <c r="E183" t="s">
        <v>40</v>
      </c>
      <c r="F183">
        <v>7.6</v>
      </c>
      <c r="G183" t="s">
        <v>13</v>
      </c>
      <c r="J183">
        <f>HOUR(Table1[[#This Row],[START_DATE]])</f>
        <v>15</v>
      </c>
      <c r="K183" s="2">
        <f t="shared" si="4"/>
        <v>42432</v>
      </c>
      <c r="L183" t="str">
        <f t="shared" si="5"/>
        <v>Thursday</v>
      </c>
    </row>
    <row r="184" spans="1:12" x14ac:dyDescent="0.35">
      <c r="A184" s="1">
        <v>42432.668055555558</v>
      </c>
      <c r="B184" s="1">
        <v>42432.695833333331</v>
      </c>
      <c r="C184" t="s">
        <v>7</v>
      </c>
      <c r="D184" t="s">
        <v>40</v>
      </c>
      <c r="E184" t="s">
        <v>15</v>
      </c>
      <c r="F184">
        <v>17.3</v>
      </c>
      <c r="G184" t="s">
        <v>11</v>
      </c>
      <c r="J184">
        <f>HOUR(Table1[[#This Row],[START_DATE]])</f>
        <v>16</v>
      </c>
      <c r="K184" s="2">
        <f t="shared" si="4"/>
        <v>42432</v>
      </c>
      <c r="L184" t="str">
        <f t="shared" si="5"/>
        <v>Thursday</v>
      </c>
    </row>
    <row r="185" spans="1:12" x14ac:dyDescent="0.35">
      <c r="A185" s="1">
        <v>42433.324305555558</v>
      </c>
      <c r="B185" s="1">
        <v>42433.337500000001</v>
      </c>
      <c r="C185" t="s">
        <v>7</v>
      </c>
      <c r="D185" t="s">
        <v>15</v>
      </c>
      <c r="E185" t="s">
        <v>36</v>
      </c>
      <c r="F185">
        <v>9.9</v>
      </c>
      <c r="G185" t="s">
        <v>11</v>
      </c>
      <c r="J185">
        <f>HOUR(Table1[[#This Row],[START_DATE]])</f>
        <v>7</v>
      </c>
      <c r="K185" s="2">
        <f t="shared" si="4"/>
        <v>42433</v>
      </c>
      <c r="L185" t="str">
        <f t="shared" si="5"/>
        <v>Friday</v>
      </c>
    </row>
    <row r="186" spans="1:12" x14ac:dyDescent="0.35">
      <c r="A186" s="1">
        <v>42433.406944444447</v>
      </c>
      <c r="B186" s="1">
        <v>42433.418749999997</v>
      </c>
      <c r="C186" t="s">
        <v>7</v>
      </c>
      <c r="D186" t="s">
        <v>36</v>
      </c>
      <c r="E186" t="s">
        <v>15</v>
      </c>
      <c r="F186">
        <v>9.9</v>
      </c>
      <c r="G186" t="s">
        <v>13</v>
      </c>
      <c r="J186">
        <f>HOUR(Table1[[#This Row],[START_DATE]])</f>
        <v>9</v>
      </c>
      <c r="K186" s="2">
        <f t="shared" si="4"/>
        <v>42433</v>
      </c>
      <c r="L186" t="str">
        <f t="shared" si="5"/>
        <v>Friday</v>
      </c>
    </row>
    <row r="187" spans="1:12" x14ac:dyDescent="0.35">
      <c r="A187" s="1">
        <v>42433.490277777775</v>
      </c>
      <c r="B187" s="1">
        <v>42433.504166666666</v>
      </c>
      <c r="C187" t="s">
        <v>7</v>
      </c>
      <c r="D187" t="s">
        <v>15</v>
      </c>
      <c r="E187" t="s">
        <v>36</v>
      </c>
      <c r="F187">
        <v>10.4</v>
      </c>
      <c r="G187" t="s">
        <v>11</v>
      </c>
      <c r="J187">
        <f>HOUR(Table1[[#This Row],[START_DATE]])</f>
        <v>11</v>
      </c>
      <c r="K187" s="2">
        <f t="shared" si="4"/>
        <v>42433</v>
      </c>
      <c r="L187" t="str">
        <f t="shared" si="5"/>
        <v>Friday</v>
      </c>
    </row>
    <row r="188" spans="1:12" x14ac:dyDescent="0.35">
      <c r="A188" s="1">
        <v>42433.543749999997</v>
      </c>
      <c r="B188" s="1">
        <v>42433.559027777781</v>
      </c>
      <c r="C188" t="s">
        <v>7</v>
      </c>
      <c r="D188" t="s">
        <v>36</v>
      </c>
      <c r="E188" t="s">
        <v>15</v>
      </c>
      <c r="F188">
        <v>10.9</v>
      </c>
      <c r="G188" t="s">
        <v>11</v>
      </c>
      <c r="J188">
        <f>HOUR(Table1[[#This Row],[START_DATE]])</f>
        <v>13</v>
      </c>
      <c r="K188" s="2">
        <f t="shared" si="4"/>
        <v>42433</v>
      </c>
      <c r="L188" t="str">
        <f t="shared" si="5"/>
        <v>Friday</v>
      </c>
    </row>
    <row r="189" spans="1:12" x14ac:dyDescent="0.35">
      <c r="A189" s="1">
        <v>42433.569444444445</v>
      </c>
      <c r="B189" s="1">
        <v>42433.589583333334</v>
      </c>
      <c r="C189" t="s">
        <v>7</v>
      </c>
      <c r="D189" t="s">
        <v>15</v>
      </c>
      <c r="E189" t="s">
        <v>40</v>
      </c>
      <c r="F189">
        <v>15.7</v>
      </c>
      <c r="G189" t="s">
        <v>13</v>
      </c>
      <c r="J189">
        <f>HOUR(Table1[[#This Row],[START_DATE]])</f>
        <v>13</v>
      </c>
      <c r="K189" s="2">
        <f t="shared" si="4"/>
        <v>42433</v>
      </c>
      <c r="L189" t="str">
        <f t="shared" si="5"/>
        <v>Friday</v>
      </c>
    </row>
    <row r="190" spans="1:12" x14ac:dyDescent="0.35">
      <c r="A190" s="1">
        <v>42433.663888888892</v>
      </c>
      <c r="B190" s="1">
        <v>42433.672222222223</v>
      </c>
      <c r="C190" t="s">
        <v>7</v>
      </c>
      <c r="D190" t="s">
        <v>40</v>
      </c>
      <c r="E190" t="s">
        <v>40</v>
      </c>
      <c r="F190">
        <v>4.9000000000000004</v>
      </c>
      <c r="G190" t="s">
        <v>9</v>
      </c>
      <c r="J190">
        <f>HOUR(Table1[[#This Row],[START_DATE]])</f>
        <v>15</v>
      </c>
      <c r="K190" s="2">
        <f t="shared" si="4"/>
        <v>42433</v>
      </c>
      <c r="L190" t="str">
        <f t="shared" si="5"/>
        <v>Friday</v>
      </c>
    </row>
    <row r="191" spans="1:12" x14ac:dyDescent="0.35">
      <c r="A191" s="1">
        <v>42433.677777777775</v>
      </c>
      <c r="B191" s="1">
        <v>42433.681944444441</v>
      </c>
      <c r="C191" t="s">
        <v>7</v>
      </c>
      <c r="D191" t="s">
        <v>41</v>
      </c>
      <c r="E191" t="s">
        <v>74</v>
      </c>
      <c r="F191">
        <v>0.8</v>
      </c>
      <c r="G191" t="s">
        <v>10</v>
      </c>
      <c r="J191">
        <f>HOUR(Table1[[#This Row],[START_DATE]])</f>
        <v>16</v>
      </c>
      <c r="K191" s="2">
        <f t="shared" si="4"/>
        <v>42433</v>
      </c>
      <c r="L191" t="str">
        <f t="shared" si="5"/>
        <v>Friday</v>
      </c>
    </row>
    <row r="192" spans="1:12" x14ac:dyDescent="0.35">
      <c r="A192" s="1">
        <v>42433.696527777778</v>
      </c>
      <c r="B192" s="1">
        <v>42433.716666666667</v>
      </c>
      <c r="C192" t="s">
        <v>7</v>
      </c>
      <c r="D192" t="s">
        <v>40</v>
      </c>
      <c r="E192" t="s">
        <v>15</v>
      </c>
      <c r="F192">
        <v>13.5</v>
      </c>
      <c r="G192" t="s">
        <v>11</v>
      </c>
      <c r="J192">
        <f>HOUR(Table1[[#This Row],[START_DATE]])</f>
        <v>16</v>
      </c>
      <c r="K192" s="2">
        <f t="shared" si="4"/>
        <v>42433</v>
      </c>
      <c r="L192" t="str">
        <f t="shared" si="5"/>
        <v>Friday</v>
      </c>
    </row>
    <row r="193" spans="1:12" x14ac:dyDescent="0.35">
      <c r="A193" s="1">
        <v>42433.793055555558</v>
      </c>
      <c r="B193" s="1">
        <v>42433.797222222223</v>
      </c>
      <c r="C193" t="s">
        <v>7</v>
      </c>
      <c r="D193" t="s">
        <v>15</v>
      </c>
      <c r="E193" t="s">
        <v>16</v>
      </c>
      <c r="F193">
        <v>1.9</v>
      </c>
      <c r="G193" t="s">
        <v>24</v>
      </c>
      <c r="J193">
        <f>HOUR(Table1[[#This Row],[START_DATE]])</f>
        <v>19</v>
      </c>
      <c r="K193" s="2">
        <f t="shared" si="4"/>
        <v>42433</v>
      </c>
      <c r="L193" t="str">
        <f t="shared" si="5"/>
        <v>Friday</v>
      </c>
    </row>
    <row r="194" spans="1:12" x14ac:dyDescent="0.35">
      <c r="A194" s="1">
        <v>42433.802777777775</v>
      </c>
      <c r="B194" s="1">
        <v>42433.809027777781</v>
      </c>
      <c r="C194" t="s">
        <v>7</v>
      </c>
      <c r="D194" t="s">
        <v>16</v>
      </c>
      <c r="E194" t="s">
        <v>15</v>
      </c>
      <c r="F194">
        <v>2</v>
      </c>
      <c r="G194" t="s">
        <v>9</v>
      </c>
      <c r="J194">
        <f>HOUR(Table1[[#This Row],[START_DATE]])</f>
        <v>19</v>
      </c>
      <c r="K194" s="2">
        <f t="shared" si="4"/>
        <v>42433</v>
      </c>
      <c r="L194" t="str">
        <f t="shared" si="5"/>
        <v>Friday</v>
      </c>
    </row>
    <row r="195" spans="1:12" x14ac:dyDescent="0.35">
      <c r="A195" s="1">
        <v>42434.488888888889</v>
      </c>
      <c r="B195" s="1">
        <v>42434.499305555553</v>
      </c>
      <c r="C195" t="s">
        <v>7</v>
      </c>
      <c r="D195" t="s">
        <v>15</v>
      </c>
      <c r="E195" t="s">
        <v>16</v>
      </c>
      <c r="F195">
        <v>6.5</v>
      </c>
      <c r="G195" t="s">
        <v>9</v>
      </c>
      <c r="J195">
        <f>HOUR(Table1[[#This Row],[START_DATE]])</f>
        <v>11</v>
      </c>
      <c r="K195" s="2">
        <f t="shared" ref="K195:K258" si="6">DATE(YEAR(A195), MONTH(A195), DAY(A195))</f>
        <v>42434</v>
      </c>
      <c r="L195" t="str">
        <f t="shared" ref="L195:L258" si="7">TEXT(A195,"dddd")</f>
        <v>Saturday</v>
      </c>
    </row>
    <row r="196" spans="1:12" x14ac:dyDescent="0.35">
      <c r="A196" s="1">
        <v>42434.539583333331</v>
      </c>
      <c r="B196" s="1">
        <v>42434.55</v>
      </c>
      <c r="C196" t="s">
        <v>55</v>
      </c>
      <c r="D196" t="s">
        <v>75</v>
      </c>
      <c r="E196" t="s">
        <v>75</v>
      </c>
      <c r="F196">
        <v>4.2</v>
      </c>
      <c r="J196">
        <f>HOUR(Table1[[#This Row],[START_DATE]])</f>
        <v>12</v>
      </c>
      <c r="K196" s="2">
        <f t="shared" si="6"/>
        <v>42434</v>
      </c>
      <c r="L196" t="str">
        <f t="shared" si="7"/>
        <v>Saturday</v>
      </c>
    </row>
    <row r="197" spans="1:12" x14ac:dyDescent="0.35">
      <c r="A197" s="1">
        <v>42434.588888888888</v>
      </c>
      <c r="B197" s="1">
        <v>42434.595833333333</v>
      </c>
      <c r="C197" t="s">
        <v>55</v>
      </c>
      <c r="D197" t="s">
        <v>16</v>
      </c>
      <c r="E197" t="s">
        <v>15</v>
      </c>
      <c r="F197">
        <v>3.5</v>
      </c>
      <c r="J197">
        <f>HOUR(Table1[[#This Row],[START_DATE]])</f>
        <v>14</v>
      </c>
      <c r="K197" s="2">
        <f t="shared" si="6"/>
        <v>42434</v>
      </c>
      <c r="L197" t="str">
        <f t="shared" si="7"/>
        <v>Saturday</v>
      </c>
    </row>
    <row r="198" spans="1:12" x14ac:dyDescent="0.35">
      <c r="A198" s="1">
        <v>42434.61041666667</v>
      </c>
      <c r="B198" s="1">
        <v>42434.625694444447</v>
      </c>
      <c r="C198" t="s">
        <v>7</v>
      </c>
      <c r="D198" t="s">
        <v>38</v>
      </c>
      <c r="E198" t="s">
        <v>73</v>
      </c>
      <c r="F198">
        <v>7.8</v>
      </c>
      <c r="G198" t="s">
        <v>9</v>
      </c>
      <c r="J198">
        <f>HOUR(Table1[[#This Row],[START_DATE]])</f>
        <v>14</v>
      </c>
      <c r="K198" s="2">
        <f t="shared" si="6"/>
        <v>42434</v>
      </c>
      <c r="L198" t="str">
        <f t="shared" si="7"/>
        <v>Saturday</v>
      </c>
    </row>
    <row r="199" spans="1:12" x14ac:dyDescent="0.35">
      <c r="A199" s="1">
        <v>42434.702777777777</v>
      </c>
      <c r="B199" s="1">
        <v>42434.717361111114</v>
      </c>
      <c r="C199" t="s">
        <v>7</v>
      </c>
      <c r="D199" t="s">
        <v>15</v>
      </c>
      <c r="E199" t="s">
        <v>16</v>
      </c>
      <c r="F199">
        <v>7.8</v>
      </c>
      <c r="G199" t="s">
        <v>9</v>
      </c>
      <c r="J199">
        <f>HOUR(Table1[[#This Row],[START_DATE]])</f>
        <v>16</v>
      </c>
      <c r="K199" s="2">
        <f t="shared" si="6"/>
        <v>42434</v>
      </c>
      <c r="L199" t="str">
        <f t="shared" si="7"/>
        <v>Saturday</v>
      </c>
    </row>
    <row r="200" spans="1:12" x14ac:dyDescent="0.35">
      <c r="A200" s="1">
        <v>42434.724305555559</v>
      </c>
      <c r="B200" s="1">
        <v>42434.731944444444</v>
      </c>
      <c r="C200" t="s">
        <v>7</v>
      </c>
      <c r="D200" t="s">
        <v>16</v>
      </c>
      <c r="E200" t="s">
        <v>15</v>
      </c>
      <c r="F200">
        <v>3.9</v>
      </c>
      <c r="G200" t="s">
        <v>9</v>
      </c>
      <c r="J200">
        <f>HOUR(Table1[[#This Row],[START_DATE]])</f>
        <v>17</v>
      </c>
      <c r="K200" s="2">
        <f t="shared" si="6"/>
        <v>42434</v>
      </c>
      <c r="L200" t="str">
        <f t="shared" si="7"/>
        <v>Saturday</v>
      </c>
    </row>
    <row r="201" spans="1:12" x14ac:dyDescent="0.35">
      <c r="A201" s="1">
        <v>42436.381944444445</v>
      </c>
      <c r="B201" s="1">
        <v>42436.388888888891</v>
      </c>
      <c r="C201" t="s">
        <v>7</v>
      </c>
      <c r="D201" t="s">
        <v>38</v>
      </c>
      <c r="E201" t="s">
        <v>54</v>
      </c>
      <c r="F201">
        <v>2.8</v>
      </c>
      <c r="G201" t="s">
        <v>10</v>
      </c>
      <c r="J201">
        <f>HOUR(Table1[[#This Row],[START_DATE]])</f>
        <v>9</v>
      </c>
      <c r="K201" s="2">
        <f t="shared" si="6"/>
        <v>42436</v>
      </c>
      <c r="L201" t="str">
        <f t="shared" si="7"/>
        <v>Monday</v>
      </c>
    </row>
    <row r="202" spans="1:12" x14ac:dyDescent="0.35">
      <c r="A202" s="1">
        <v>42436.390972222223</v>
      </c>
      <c r="B202" s="1">
        <v>42436.407638888886</v>
      </c>
      <c r="C202" t="s">
        <v>7</v>
      </c>
      <c r="D202" t="s">
        <v>15</v>
      </c>
      <c r="E202" t="s">
        <v>40</v>
      </c>
      <c r="F202">
        <v>12.4</v>
      </c>
      <c r="G202" t="s">
        <v>13</v>
      </c>
      <c r="J202">
        <f>HOUR(Table1[[#This Row],[START_DATE]])</f>
        <v>9</v>
      </c>
      <c r="K202" s="2">
        <f t="shared" si="6"/>
        <v>42436</v>
      </c>
      <c r="L202" t="str">
        <f t="shared" si="7"/>
        <v>Monday</v>
      </c>
    </row>
    <row r="203" spans="1:12" x14ac:dyDescent="0.35">
      <c r="A203" s="1">
        <v>42436.506944444445</v>
      </c>
      <c r="B203" s="1">
        <v>42436.518055555556</v>
      </c>
      <c r="C203" t="s">
        <v>7</v>
      </c>
      <c r="D203" t="s">
        <v>41</v>
      </c>
      <c r="E203" t="s">
        <v>46</v>
      </c>
      <c r="F203">
        <v>5.9</v>
      </c>
      <c r="G203" t="s">
        <v>13</v>
      </c>
      <c r="J203">
        <f>HOUR(Table1[[#This Row],[START_DATE]])</f>
        <v>12</v>
      </c>
      <c r="K203" s="2">
        <f t="shared" si="6"/>
        <v>42436</v>
      </c>
      <c r="L203" t="str">
        <f t="shared" si="7"/>
        <v>Monday</v>
      </c>
    </row>
    <row r="204" spans="1:12" x14ac:dyDescent="0.35">
      <c r="A204" s="1">
        <v>42436.581250000003</v>
      </c>
      <c r="B204" s="1">
        <v>42436.595833333333</v>
      </c>
      <c r="C204" t="s">
        <v>7</v>
      </c>
      <c r="D204" t="s">
        <v>46</v>
      </c>
      <c r="E204" t="s">
        <v>47</v>
      </c>
      <c r="F204">
        <v>9.4</v>
      </c>
      <c r="G204" t="s">
        <v>11</v>
      </c>
      <c r="J204">
        <f>HOUR(Table1[[#This Row],[START_DATE]])</f>
        <v>13</v>
      </c>
      <c r="K204" s="2">
        <f t="shared" si="6"/>
        <v>42436</v>
      </c>
      <c r="L204" t="str">
        <f t="shared" si="7"/>
        <v>Monday</v>
      </c>
    </row>
    <row r="205" spans="1:12" x14ac:dyDescent="0.35">
      <c r="A205" s="1">
        <v>42436.638194444444</v>
      </c>
      <c r="B205" s="1">
        <v>42436.65625</v>
      </c>
      <c r="C205" t="s">
        <v>7</v>
      </c>
      <c r="D205" t="s">
        <v>40</v>
      </c>
      <c r="E205" t="s">
        <v>15</v>
      </c>
      <c r="F205">
        <v>11.9</v>
      </c>
      <c r="G205" t="s">
        <v>53</v>
      </c>
      <c r="J205">
        <f>HOUR(Table1[[#This Row],[START_DATE]])</f>
        <v>15</v>
      </c>
      <c r="K205" s="2">
        <f t="shared" si="6"/>
        <v>42436</v>
      </c>
      <c r="L205" t="str">
        <f t="shared" si="7"/>
        <v>Monday</v>
      </c>
    </row>
    <row r="206" spans="1:12" x14ac:dyDescent="0.35">
      <c r="A206" s="1">
        <v>42437.609722222223</v>
      </c>
      <c r="B206" s="1">
        <v>42437.621527777781</v>
      </c>
      <c r="C206" t="s">
        <v>7</v>
      </c>
      <c r="D206" t="s">
        <v>38</v>
      </c>
      <c r="E206" t="s">
        <v>72</v>
      </c>
      <c r="F206">
        <v>7.2</v>
      </c>
      <c r="G206" t="s">
        <v>53</v>
      </c>
      <c r="J206">
        <f>HOUR(Table1[[#This Row],[START_DATE]])</f>
        <v>14</v>
      </c>
      <c r="K206" s="2">
        <f t="shared" si="6"/>
        <v>42437</v>
      </c>
      <c r="L206" t="str">
        <f t="shared" si="7"/>
        <v>Tuesday</v>
      </c>
    </row>
    <row r="207" spans="1:12" x14ac:dyDescent="0.35">
      <c r="A207" s="1">
        <v>42437.649305555555</v>
      </c>
      <c r="B207" s="1">
        <v>42437.666666666664</v>
      </c>
      <c r="C207" t="s">
        <v>7</v>
      </c>
      <c r="D207" t="s">
        <v>72</v>
      </c>
      <c r="E207" t="s">
        <v>38</v>
      </c>
      <c r="F207">
        <v>7.6</v>
      </c>
      <c r="G207" t="s">
        <v>9</v>
      </c>
      <c r="J207">
        <f>HOUR(Table1[[#This Row],[START_DATE]])</f>
        <v>15</v>
      </c>
      <c r="K207" s="2">
        <f t="shared" si="6"/>
        <v>42437</v>
      </c>
      <c r="L207" t="str">
        <f t="shared" si="7"/>
        <v>Tuesday</v>
      </c>
    </row>
    <row r="208" spans="1:12" x14ac:dyDescent="0.35">
      <c r="A208" s="1">
        <v>42437.675694444442</v>
      </c>
      <c r="B208" s="1">
        <v>42437.684027777781</v>
      </c>
      <c r="C208" t="s">
        <v>55</v>
      </c>
      <c r="D208" t="s">
        <v>38</v>
      </c>
      <c r="E208" t="s">
        <v>38</v>
      </c>
      <c r="F208">
        <v>1.6</v>
      </c>
      <c r="J208">
        <f>HOUR(Table1[[#This Row],[START_DATE]])</f>
        <v>16</v>
      </c>
      <c r="K208" s="2">
        <f t="shared" si="6"/>
        <v>42437</v>
      </c>
      <c r="L208" t="str">
        <f t="shared" si="7"/>
        <v>Tuesday</v>
      </c>
    </row>
    <row r="209" spans="1:12" x14ac:dyDescent="0.35">
      <c r="A209" s="1">
        <v>42439.15</v>
      </c>
      <c r="B209" s="1">
        <v>42439.161805555559</v>
      </c>
      <c r="C209" t="s">
        <v>7</v>
      </c>
      <c r="D209" t="s">
        <v>15</v>
      </c>
      <c r="E209" t="s">
        <v>16</v>
      </c>
      <c r="F209">
        <v>8.4</v>
      </c>
      <c r="G209" t="s">
        <v>11</v>
      </c>
      <c r="J209">
        <f>HOUR(Table1[[#This Row],[START_DATE]])</f>
        <v>3</v>
      </c>
      <c r="K209" s="2">
        <f t="shared" si="6"/>
        <v>42439</v>
      </c>
      <c r="L209" t="str">
        <f t="shared" si="7"/>
        <v>Thursday</v>
      </c>
    </row>
    <row r="210" spans="1:12" x14ac:dyDescent="0.35">
      <c r="A210" s="1">
        <v>42439.422222222223</v>
      </c>
      <c r="B210" s="1">
        <v>42439.442361111112</v>
      </c>
      <c r="C210" t="s">
        <v>7</v>
      </c>
      <c r="D210" t="s">
        <v>76</v>
      </c>
      <c r="E210" t="s">
        <v>77</v>
      </c>
      <c r="F210">
        <v>12.8</v>
      </c>
      <c r="G210" t="s">
        <v>11</v>
      </c>
      <c r="J210">
        <f>HOUR(Table1[[#This Row],[START_DATE]])</f>
        <v>10</v>
      </c>
      <c r="K210" s="2">
        <f t="shared" si="6"/>
        <v>42439</v>
      </c>
      <c r="L210" t="str">
        <f t="shared" si="7"/>
        <v>Thursday</v>
      </c>
    </row>
    <row r="211" spans="1:12" x14ac:dyDescent="0.35">
      <c r="A211" s="1">
        <v>42439.61041666667</v>
      </c>
      <c r="B211" s="1">
        <v>42439.621527777781</v>
      </c>
      <c r="C211" t="s">
        <v>7</v>
      </c>
      <c r="D211" t="s">
        <v>77</v>
      </c>
      <c r="E211" t="s">
        <v>78</v>
      </c>
      <c r="F211">
        <v>2.2999999999999998</v>
      </c>
      <c r="J211">
        <f>HOUR(Table1[[#This Row],[START_DATE]])</f>
        <v>14</v>
      </c>
      <c r="K211" s="2">
        <f t="shared" si="6"/>
        <v>42439</v>
      </c>
      <c r="L211" t="str">
        <f t="shared" si="7"/>
        <v>Thursday</v>
      </c>
    </row>
    <row r="212" spans="1:12" x14ac:dyDescent="0.35">
      <c r="A212" s="1">
        <v>42439.679166666669</v>
      </c>
      <c r="B212" s="1">
        <v>42439.686111111114</v>
      </c>
      <c r="C212" t="s">
        <v>7</v>
      </c>
      <c r="D212" t="s">
        <v>78</v>
      </c>
      <c r="E212" t="s">
        <v>79</v>
      </c>
      <c r="F212">
        <v>1.6</v>
      </c>
      <c r="J212">
        <f>HOUR(Table1[[#This Row],[START_DATE]])</f>
        <v>16</v>
      </c>
      <c r="K212" s="2">
        <f t="shared" si="6"/>
        <v>42439</v>
      </c>
      <c r="L212" t="str">
        <f t="shared" si="7"/>
        <v>Thursday</v>
      </c>
    </row>
    <row r="213" spans="1:12" x14ac:dyDescent="0.35">
      <c r="A213" s="1">
        <v>42440.407638888886</v>
      </c>
      <c r="B213" s="1">
        <v>42440.415972222225</v>
      </c>
      <c r="C213" t="s">
        <v>7</v>
      </c>
      <c r="D213" t="s">
        <v>80</v>
      </c>
      <c r="E213" t="s">
        <v>81</v>
      </c>
      <c r="F213">
        <v>2</v>
      </c>
      <c r="G213" t="s">
        <v>9</v>
      </c>
      <c r="J213">
        <f>HOUR(Table1[[#This Row],[START_DATE]])</f>
        <v>9</v>
      </c>
      <c r="K213" s="2">
        <f t="shared" si="6"/>
        <v>42440</v>
      </c>
      <c r="L213" t="str">
        <f t="shared" si="7"/>
        <v>Friday</v>
      </c>
    </row>
    <row r="214" spans="1:12" x14ac:dyDescent="0.35">
      <c r="A214" s="1">
        <v>42440.436805555553</v>
      </c>
      <c r="B214" s="1">
        <v>42440.441666666666</v>
      </c>
      <c r="C214" t="s">
        <v>7</v>
      </c>
      <c r="D214" t="s">
        <v>81</v>
      </c>
      <c r="E214" t="s">
        <v>31</v>
      </c>
      <c r="F214">
        <v>0.8</v>
      </c>
      <c r="J214">
        <f>HOUR(Table1[[#This Row],[START_DATE]])</f>
        <v>10</v>
      </c>
      <c r="K214" s="2">
        <f t="shared" si="6"/>
        <v>42440</v>
      </c>
      <c r="L214" t="str">
        <f t="shared" si="7"/>
        <v>Friday</v>
      </c>
    </row>
    <row r="215" spans="1:12" x14ac:dyDescent="0.35">
      <c r="A215" s="1">
        <v>42440.497916666667</v>
      </c>
      <c r="B215" s="1">
        <v>42440.50277777778</v>
      </c>
      <c r="C215" t="s">
        <v>7</v>
      </c>
      <c r="D215" t="s">
        <v>31</v>
      </c>
      <c r="E215" t="s">
        <v>82</v>
      </c>
      <c r="F215">
        <v>1.2</v>
      </c>
      <c r="J215">
        <f>HOUR(Table1[[#This Row],[START_DATE]])</f>
        <v>11</v>
      </c>
      <c r="K215" s="2">
        <f t="shared" si="6"/>
        <v>42440</v>
      </c>
      <c r="L215" t="str">
        <f t="shared" si="7"/>
        <v>Friday</v>
      </c>
    </row>
    <row r="216" spans="1:12" x14ac:dyDescent="0.35">
      <c r="A216" s="1">
        <v>42440.571527777778</v>
      </c>
      <c r="B216" s="1">
        <v>42440.57708333333</v>
      </c>
      <c r="C216" t="s">
        <v>7</v>
      </c>
      <c r="D216" t="s">
        <v>82</v>
      </c>
      <c r="E216" t="s">
        <v>31</v>
      </c>
      <c r="F216">
        <v>1</v>
      </c>
      <c r="J216">
        <f>HOUR(Table1[[#This Row],[START_DATE]])</f>
        <v>13</v>
      </c>
      <c r="K216" s="2">
        <f t="shared" si="6"/>
        <v>42440</v>
      </c>
      <c r="L216" t="str">
        <f t="shared" si="7"/>
        <v>Friday</v>
      </c>
    </row>
    <row r="217" spans="1:12" x14ac:dyDescent="0.35">
      <c r="A217" s="1">
        <v>42440.806250000001</v>
      </c>
      <c r="B217" s="1">
        <v>42440.815972222219</v>
      </c>
      <c r="C217" t="s">
        <v>7</v>
      </c>
      <c r="D217" t="s">
        <v>78</v>
      </c>
      <c r="E217" t="s">
        <v>80</v>
      </c>
      <c r="F217">
        <v>2.1</v>
      </c>
      <c r="J217">
        <f>HOUR(Table1[[#This Row],[START_DATE]])</f>
        <v>19</v>
      </c>
      <c r="K217" s="2">
        <f t="shared" si="6"/>
        <v>42440</v>
      </c>
      <c r="L217" t="str">
        <f t="shared" si="7"/>
        <v>Friday</v>
      </c>
    </row>
    <row r="218" spans="1:12" x14ac:dyDescent="0.35">
      <c r="A218" s="1">
        <v>42441.384027777778</v>
      </c>
      <c r="B218" s="1">
        <v>42441.390277777777</v>
      </c>
      <c r="C218" t="s">
        <v>7</v>
      </c>
      <c r="D218" t="s">
        <v>80</v>
      </c>
      <c r="E218" t="s">
        <v>78</v>
      </c>
      <c r="F218">
        <v>2.2000000000000002</v>
      </c>
      <c r="J218">
        <f>HOUR(Table1[[#This Row],[START_DATE]])</f>
        <v>9</v>
      </c>
      <c r="K218" s="2">
        <f t="shared" si="6"/>
        <v>42441</v>
      </c>
      <c r="L218" t="str">
        <f t="shared" si="7"/>
        <v>Saturday</v>
      </c>
    </row>
    <row r="219" spans="1:12" x14ac:dyDescent="0.35">
      <c r="A219" s="1">
        <v>42441.768750000003</v>
      </c>
      <c r="B219" s="1">
        <v>42441.775694444441</v>
      </c>
      <c r="C219" t="s">
        <v>55</v>
      </c>
      <c r="D219" t="s">
        <v>78</v>
      </c>
      <c r="E219" t="s">
        <v>80</v>
      </c>
      <c r="F219">
        <v>1.9</v>
      </c>
      <c r="J219">
        <f>HOUR(Table1[[#This Row],[START_DATE]])</f>
        <v>18</v>
      </c>
      <c r="K219" s="2">
        <f t="shared" si="6"/>
        <v>42441</v>
      </c>
      <c r="L219" t="str">
        <f t="shared" si="7"/>
        <v>Saturday</v>
      </c>
    </row>
    <row r="220" spans="1:12" x14ac:dyDescent="0.35">
      <c r="A220" s="1">
        <v>42442.379861111112</v>
      </c>
      <c r="B220" s="1">
        <v>42442.400694444441</v>
      </c>
      <c r="C220" t="s">
        <v>7</v>
      </c>
      <c r="D220" t="s">
        <v>80</v>
      </c>
      <c r="E220" t="s">
        <v>83</v>
      </c>
      <c r="F220">
        <v>5.7</v>
      </c>
      <c r="G220" t="s">
        <v>9</v>
      </c>
      <c r="J220">
        <f>HOUR(Table1[[#This Row],[START_DATE]])</f>
        <v>9</v>
      </c>
      <c r="K220" s="2">
        <f t="shared" si="6"/>
        <v>42442</v>
      </c>
      <c r="L220" t="str">
        <f t="shared" si="7"/>
        <v>Sunday</v>
      </c>
    </row>
    <row r="221" spans="1:12" x14ac:dyDescent="0.35">
      <c r="A221" s="1">
        <v>42442.765972222223</v>
      </c>
      <c r="B221" s="1">
        <v>42442.779861111114</v>
      </c>
      <c r="C221" t="s">
        <v>7</v>
      </c>
      <c r="D221" t="s">
        <v>78</v>
      </c>
      <c r="E221" t="s">
        <v>84</v>
      </c>
      <c r="F221">
        <v>8.4</v>
      </c>
      <c r="G221" t="s">
        <v>9</v>
      </c>
      <c r="J221">
        <f>HOUR(Table1[[#This Row],[START_DATE]])</f>
        <v>18</v>
      </c>
      <c r="K221" s="2">
        <f t="shared" si="6"/>
        <v>42442</v>
      </c>
      <c r="L221" t="str">
        <f t="shared" si="7"/>
        <v>Sunday</v>
      </c>
    </row>
    <row r="222" spans="1:12" x14ac:dyDescent="0.35">
      <c r="A222" s="1">
        <v>42442.838194444441</v>
      </c>
      <c r="B222" s="1">
        <v>42442.852777777778</v>
      </c>
      <c r="C222" t="s">
        <v>7</v>
      </c>
      <c r="D222" t="s">
        <v>85</v>
      </c>
      <c r="E222" t="s">
        <v>80</v>
      </c>
      <c r="F222">
        <v>6.2</v>
      </c>
      <c r="G222" t="s">
        <v>9</v>
      </c>
      <c r="J222">
        <f>HOUR(Table1[[#This Row],[START_DATE]])</f>
        <v>20</v>
      </c>
      <c r="K222" s="2">
        <f t="shared" si="6"/>
        <v>42442</v>
      </c>
      <c r="L222" t="str">
        <f t="shared" si="7"/>
        <v>Sunday</v>
      </c>
    </row>
    <row r="223" spans="1:12" x14ac:dyDescent="0.35">
      <c r="A223" s="1">
        <v>42442.86041666667</v>
      </c>
      <c r="B223" s="1">
        <v>42442.873611111114</v>
      </c>
      <c r="C223" t="s">
        <v>7</v>
      </c>
      <c r="D223" t="s">
        <v>80</v>
      </c>
      <c r="E223" t="s">
        <v>84</v>
      </c>
      <c r="F223">
        <v>10.5</v>
      </c>
      <c r="G223" t="s">
        <v>9</v>
      </c>
      <c r="J223">
        <f>HOUR(Table1[[#This Row],[START_DATE]])</f>
        <v>20</v>
      </c>
      <c r="K223" s="2">
        <f t="shared" si="6"/>
        <v>42442</v>
      </c>
      <c r="L223" t="str">
        <f t="shared" si="7"/>
        <v>Sunday</v>
      </c>
    </row>
    <row r="224" spans="1:12" x14ac:dyDescent="0.35">
      <c r="A224" s="1">
        <v>42442.882638888892</v>
      </c>
      <c r="B224" s="1">
        <v>42442.890972222223</v>
      </c>
      <c r="C224" t="s">
        <v>7</v>
      </c>
      <c r="D224" t="s">
        <v>84</v>
      </c>
      <c r="E224" t="s">
        <v>86</v>
      </c>
      <c r="F224">
        <v>7.2</v>
      </c>
      <c r="G224" t="s">
        <v>9</v>
      </c>
      <c r="J224">
        <f>HOUR(Table1[[#This Row],[START_DATE]])</f>
        <v>21</v>
      </c>
      <c r="K224" s="2">
        <f t="shared" si="6"/>
        <v>42442</v>
      </c>
      <c r="L224" t="str">
        <f t="shared" si="7"/>
        <v>Sunday</v>
      </c>
    </row>
    <row r="225" spans="1:12" x14ac:dyDescent="0.35">
      <c r="A225" s="1">
        <v>42442.929861111108</v>
      </c>
      <c r="B225" s="1">
        <v>42442.943749999999</v>
      </c>
      <c r="C225" t="s">
        <v>7</v>
      </c>
      <c r="D225" t="s">
        <v>86</v>
      </c>
      <c r="E225" t="s">
        <v>80</v>
      </c>
      <c r="F225">
        <v>12.5</v>
      </c>
      <c r="J225">
        <f>HOUR(Table1[[#This Row],[START_DATE]])</f>
        <v>22</v>
      </c>
      <c r="K225" s="2">
        <f t="shared" si="6"/>
        <v>42442</v>
      </c>
      <c r="L225" t="str">
        <f t="shared" si="7"/>
        <v>Sunday</v>
      </c>
    </row>
    <row r="226" spans="1:12" x14ac:dyDescent="0.35">
      <c r="A226" s="1">
        <v>42443.356944444444</v>
      </c>
      <c r="B226" s="1">
        <v>42443.367361111108</v>
      </c>
      <c r="C226" t="s">
        <v>7</v>
      </c>
      <c r="D226" t="s">
        <v>80</v>
      </c>
      <c r="E226" t="s">
        <v>78</v>
      </c>
      <c r="F226">
        <v>2</v>
      </c>
      <c r="G226" t="s">
        <v>10</v>
      </c>
      <c r="J226">
        <f>HOUR(Table1[[#This Row],[START_DATE]])</f>
        <v>8</v>
      </c>
      <c r="K226" s="2">
        <f t="shared" si="6"/>
        <v>42443</v>
      </c>
      <c r="L226" t="str">
        <f t="shared" si="7"/>
        <v>Monday</v>
      </c>
    </row>
    <row r="227" spans="1:12" x14ac:dyDescent="0.35">
      <c r="A227" s="1">
        <v>42443.777083333334</v>
      </c>
      <c r="B227" s="1">
        <v>42443.788194444445</v>
      </c>
      <c r="C227" t="s">
        <v>7</v>
      </c>
      <c r="D227" t="s">
        <v>78</v>
      </c>
      <c r="E227" t="s">
        <v>80</v>
      </c>
      <c r="F227">
        <v>2.7</v>
      </c>
      <c r="J227">
        <f>HOUR(Table1[[#This Row],[START_DATE]])</f>
        <v>18</v>
      </c>
      <c r="K227" s="2">
        <f t="shared" si="6"/>
        <v>42443</v>
      </c>
      <c r="L227" t="str">
        <f t="shared" si="7"/>
        <v>Monday</v>
      </c>
    </row>
    <row r="228" spans="1:12" x14ac:dyDescent="0.35">
      <c r="A228" s="1">
        <v>42444.364583333336</v>
      </c>
      <c r="B228" s="1">
        <v>42444.372916666667</v>
      </c>
      <c r="C228" t="s">
        <v>7</v>
      </c>
      <c r="D228" t="s">
        <v>80</v>
      </c>
      <c r="E228" t="s">
        <v>83</v>
      </c>
      <c r="F228">
        <v>2</v>
      </c>
      <c r="G228" t="s">
        <v>9</v>
      </c>
      <c r="J228">
        <f>HOUR(Table1[[#This Row],[START_DATE]])</f>
        <v>8</v>
      </c>
      <c r="K228" s="2">
        <f t="shared" si="6"/>
        <v>42444</v>
      </c>
      <c r="L228" t="str">
        <f t="shared" si="7"/>
        <v>Tuesday</v>
      </c>
    </row>
    <row r="229" spans="1:12" x14ac:dyDescent="0.35">
      <c r="A229" s="1">
        <v>42444.866666666669</v>
      </c>
      <c r="B229" s="1">
        <v>42444.875694444447</v>
      </c>
      <c r="C229" t="s">
        <v>7</v>
      </c>
      <c r="D229" t="s">
        <v>31</v>
      </c>
      <c r="E229" t="s">
        <v>80</v>
      </c>
      <c r="F229">
        <v>2.8</v>
      </c>
      <c r="G229" t="s">
        <v>9</v>
      </c>
      <c r="J229">
        <f>HOUR(Table1[[#This Row],[START_DATE]])</f>
        <v>20</v>
      </c>
      <c r="K229" s="2">
        <f t="shared" si="6"/>
        <v>42444</v>
      </c>
      <c r="L229" t="str">
        <f t="shared" si="7"/>
        <v>Tuesday</v>
      </c>
    </row>
    <row r="230" spans="1:12" x14ac:dyDescent="0.35">
      <c r="A230" s="1">
        <v>42445.481944444444</v>
      </c>
      <c r="B230" s="1">
        <v>42445.489583333336</v>
      </c>
      <c r="C230" t="s">
        <v>7</v>
      </c>
      <c r="D230" t="s">
        <v>80</v>
      </c>
      <c r="E230" t="s">
        <v>81</v>
      </c>
      <c r="F230">
        <v>1.7</v>
      </c>
      <c r="G230" t="s">
        <v>9</v>
      </c>
      <c r="J230">
        <f>HOUR(Table1[[#This Row],[START_DATE]])</f>
        <v>11</v>
      </c>
      <c r="K230" s="2">
        <f t="shared" si="6"/>
        <v>42445</v>
      </c>
      <c r="L230" t="str">
        <f t="shared" si="7"/>
        <v>Wednesday</v>
      </c>
    </row>
    <row r="231" spans="1:12" x14ac:dyDescent="0.35">
      <c r="A231" s="1">
        <v>42445.613888888889</v>
      </c>
      <c r="B231" s="1">
        <v>42445.621527777781</v>
      </c>
      <c r="C231" t="s">
        <v>7</v>
      </c>
      <c r="D231" t="s">
        <v>83</v>
      </c>
      <c r="E231" t="s">
        <v>77</v>
      </c>
      <c r="F231">
        <v>2</v>
      </c>
      <c r="J231">
        <f>HOUR(Table1[[#This Row],[START_DATE]])</f>
        <v>14</v>
      </c>
      <c r="K231" s="2">
        <f t="shared" si="6"/>
        <v>42445</v>
      </c>
      <c r="L231" t="str">
        <f t="shared" si="7"/>
        <v>Wednesday</v>
      </c>
    </row>
    <row r="232" spans="1:12" x14ac:dyDescent="0.35">
      <c r="A232" s="1">
        <v>42445.779861111114</v>
      </c>
      <c r="B232" s="1">
        <v>42445.788888888892</v>
      </c>
      <c r="C232" t="s">
        <v>7</v>
      </c>
      <c r="D232" t="s">
        <v>77</v>
      </c>
      <c r="E232" t="s">
        <v>81</v>
      </c>
      <c r="F232">
        <v>2.1</v>
      </c>
      <c r="G232" t="s">
        <v>9</v>
      </c>
      <c r="J232">
        <f>HOUR(Table1[[#This Row],[START_DATE]])</f>
        <v>18</v>
      </c>
      <c r="K232" s="2">
        <f t="shared" si="6"/>
        <v>42445</v>
      </c>
      <c r="L232" t="str">
        <f t="shared" si="7"/>
        <v>Wednesday</v>
      </c>
    </row>
    <row r="233" spans="1:12" x14ac:dyDescent="0.35">
      <c r="A233" s="1">
        <v>42446.022916666669</v>
      </c>
      <c r="B233" s="1">
        <v>42446.030555555553</v>
      </c>
      <c r="C233" t="s">
        <v>55</v>
      </c>
      <c r="D233" t="s">
        <v>31</v>
      </c>
      <c r="E233" t="s">
        <v>80</v>
      </c>
      <c r="F233">
        <v>1.7</v>
      </c>
      <c r="J233">
        <f>HOUR(Table1[[#This Row],[START_DATE]])</f>
        <v>0</v>
      </c>
      <c r="K233" s="2">
        <f t="shared" si="6"/>
        <v>42446</v>
      </c>
      <c r="L233" t="str">
        <f t="shared" si="7"/>
        <v>Thursday</v>
      </c>
    </row>
    <row r="234" spans="1:12" x14ac:dyDescent="0.35">
      <c r="A234" s="1">
        <v>42446.536111111112</v>
      </c>
      <c r="B234" s="1">
        <v>42446.632638888892</v>
      </c>
      <c r="C234" t="s">
        <v>7</v>
      </c>
      <c r="D234" t="s">
        <v>87</v>
      </c>
      <c r="E234" t="s">
        <v>88</v>
      </c>
      <c r="F234">
        <v>136</v>
      </c>
      <c r="G234" t="s">
        <v>13</v>
      </c>
      <c r="J234">
        <f>HOUR(Table1[[#This Row],[START_DATE]])</f>
        <v>12</v>
      </c>
      <c r="K234" s="2">
        <f t="shared" si="6"/>
        <v>42446</v>
      </c>
      <c r="L234" t="str">
        <f t="shared" si="7"/>
        <v>Thursday</v>
      </c>
    </row>
    <row r="235" spans="1:12" x14ac:dyDescent="0.35">
      <c r="A235" s="1">
        <v>42446.636111111111</v>
      </c>
      <c r="B235" s="1">
        <v>42446.665277777778</v>
      </c>
      <c r="C235" t="s">
        <v>7</v>
      </c>
      <c r="D235" t="s">
        <v>88</v>
      </c>
      <c r="E235" t="s">
        <v>33</v>
      </c>
      <c r="F235">
        <v>30.2</v>
      </c>
      <c r="G235" t="s">
        <v>11</v>
      </c>
      <c r="J235">
        <f>HOUR(Table1[[#This Row],[START_DATE]])</f>
        <v>15</v>
      </c>
      <c r="K235" s="2">
        <f t="shared" si="6"/>
        <v>42446</v>
      </c>
      <c r="L235" t="str">
        <f t="shared" si="7"/>
        <v>Thursday</v>
      </c>
    </row>
    <row r="236" spans="1:12" x14ac:dyDescent="0.35">
      <c r="A236" s="1">
        <v>42446.722222222219</v>
      </c>
      <c r="B236" s="1">
        <v>42446.751388888886</v>
      </c>
      <c r="C236" t="s">
        <v>7</v>
      </c>
      <c r="D236" t="s">
        <v>21</v>
      </c>
      <c r="E236" t="s">
        <v>89</v>
      </c>
      <c r="F236">
        <v>15.5</v>
      </c>
      <c r="G236" t="s">
        <v>9</v>
      </c>
      <c r="J236">
        <f>HOUR(Table1[[#This Row],[START_DATE]])</f>
        <v>17</v>
      </c>
      <c r="K236" s="2">
        <f t="shared" si="6"/>
        <v>42446</v>
      </c>
      <c r="L236" t="str">
        <f t="shared" si="7"/>
        <v>Thursday</v>
      </c>
    </row>
    <row r="237" spans="1:12" x14ac:dyDescent="0.35">
      <c r="A237" s="1">
        <v>42446.782638888886</v>
      </c>
      <c r="B237" s="1">
        <v>42446.79791666667</v>
      </c>
      <c r="C237" t="s">
        <v>55</v>
      </c>
      <c r="D237" t="s">
        <v>33</v>
      </c>
      <c r="E237" t="s">
        <v>33</v>
      </c>
      <c r="F237">
        <v>4.9000000000000004</v>
      </c>
      <c r="J237">
        <f>HOUR(Table1[[#This Row],[START_DATE]])</f>
        <v>18</v>
      </c>
      <c r="K237" s="2">
        <f t="shared" si="6"/>
        <v>42446</v>
      </c>
      <c r="L237" t="str">
        <f t="shared" si="7"/>
        <v>Thursday</v>
      </c>
    </row>
    <row r="238" spans="1:12" x14ac:dyDescent="0.35">
      <c r="A238" s="1">
        <v>42446.872916666667</v>
      </c>
      <c r="B238" s="1">
        <v>42446.894444444442</v>
      </c>
      <c r="C238" t="s">
        <v>55</v>
      </c>
      <c r="D238" t="s">
        <v>33</v>
      </c>
      <c r="E238" t="s">
        <v>33</v>
      </c>
      <c r="F238">
        <v>12.6</v>
      </c>
      <c r="J238">
        <f>HOUR(Table1[[#This Row],[START_DATE]])</f>
        <v>20</v>
      </c>
      <c r="K238" s="2">
        <f t="shared" si="6"/>
        <v>42446</v>
      </c>
      <c r="L238" t="str">
        <f t="shared" si="7"/>
        <v>Thursday</v>
      </c>
    </row>
    <row r="239" spans="1:12" x14ac:dyDescent="0.35">
      <c r="A239" s="1">
        <v>42446.908333333333</v>
      </c>
      <c r="B239" s="1">
        <v>42446.919444444444</v>
      </c>
      <c r="C239" t="s">
        <v>55</v>
      </c>
      <c r="D239" t="s">
        <v>90</v>
      </c>
      <c r="E239" t="s">
        <v>21</v>
      </c>
      <c r="F239">
        <v>10.4</v>
      </c>
      <c r="J239">
        <f>HOUR(Table1[[#This Row],[START_DATE]])</f>
        <v>21</v>
      </c>
      <c r="K239" s="2">
        <f t="shared" si="6"/>
        <v>42446</v>
      </c>
      <c r="L239" t="str">
        <f t="shared" si="7"/>
        <v>Thursday</v>
      </c>
    </row>
    <row r="240" spans="1:12" x14ac:dyDescent="0.35">
      <c r="A240" s="1">
        <v>42447.302083333336</v>
      </c>
      <c r="B240" s="1">
        <v>42447.306250000001</v>
      </c>
      <c r="C240" t="s">
        <v>7</v>
      </c>
      <c r="D240" t="s">
        <v>21</v>
      </c>
      <c r="E240" t="s">
        <v>21</v>
      </c>
      <c r="F240">
        <v>1.1000000000000001</v>
      </c>
      <c r="G240" t="s">
        <v>9</v>
      </c>
      <c r="J240">
        <f>HOUR(Table1[[#This Row],[START_DATE]])</f>
        <v>7</v>
      </c>
      <c r="K240" s="2">
        <f t="shared" si="6"/>
        <v>42447</v>
      </c>
      <c r="L240" t="str">
        <f t="shared" si="7"/>
        <v>Friday</v>
      </c>
    </row>
    <row r="241" spans="1:12" x14ac:dyDescent="0.35">
      <c r="A241" s="1">
        <v>42447.357638888891</v>
      </c>
      <c r="B241" s="1">
        <v>42447.363194444442</v>
      </c>
      <c r="C241" t="s">
        <v>7</v>
      </c>
      <c r="D241" t="s">
        <v>21</v>
      </c>
      <c r="E241" t="s">
        <v>21</v>
      </c>
      <c r="F241">
        <v>1.1000000000000001</v>
      </c>
      <c r="G241" t="s">
        <v>9</v>
      </c>
      <c r="J241">
        <f>HOUR(Table1[[#This Row],[START_DATE]])</f>
        <v>8</v>
      </c>
      <c r="K241" s="2">
        <f t="shared" si="6"/>
        <v>42447</v>
      </c>
      <c r="L241" t="str">
        <f t="shared" si="7"/>
        <v>Friday</v>
      </c>
    </row>
    <row r="242" spans="1:12" x14ac:dyDescent="0.35">
      <c r="A242" s="1">
        <v>42447.76666666667</v>
      </c>
      <c r="B242" s="1">
        <v>42447.797222222223</v>
      </c>
      <c r="C242" t="s">
        <v>7</v>
      </c>
      <c r="D242" t="s">
        <v>21</v>
      </c>
      <c r="E242" t="s">
        <v>90</v>
      </c>
      <c r="F242">
        <v>13.2</v>
      </c>
      <c r="G242" t="s">
        <v>11</v>
      </c>
      <c r="J242">
        <f>HOUR(Table1[[#This Row],[START_DATE]])</f>
        <v>18</v>
      </c>
      <c r="K242" s="2">
        <f t="shared" si="6"/>
        <v>42447</v>
      </c>
      <c r="L242" t="str">
        <f t="shared" si="7"/>
        <v>Friday</v>
      </c>
    </row>
    <row r="243" spans="1:12" x14ac:dyDescent="0.35">
      <c r="A243" s="1">
        <v>42447.807638888888</v>
      </c>
      <c r="B243" s="1">
        <v>42447.811805555553</v>
      </c>
      <c r="C243" t="s">
        <v>7</v>
      </c>
      <c r="D243" t="s">
        <v>90</v>
      </c>
      <c r="E243" t="s">
        <v>90</v>
      </c>
      <c r="F243">
        <v>1</v>
      </c>
      <c r="G243" t="s">
        <v>10</v>
      </c>
      <c r="J243">
        <f>HOUR(Table1[[#This Row],[START_DATE]])</f>
        <v>19</v>
      </c>
      <c r="K243" s="2">
        <f t="shared" si="6"/>
        <v>42447</v>
      </c>
      <c r="L243" t="str">
        <f t="shared" si="7"/>
        <v>Friday</v>
      </c>
    </row>
    <row r="244" spans="1:12" x14ac:dyDescent="0.35">
      <c r="A244" s="1">
        <v>42447.875694444447</v>
      </c>
      <c r="B244" s="1">
        <v>42447.885416666664</v>
      </c>
      <c r="C244" t="s">
        <v>7</v>
      </c>
      <c r="D244" t="s">
        <v>90</v>
      </c>
      <c r="E244" t="s">
        <v>21</v>
      </c>
      <c r="F244">
        <v>9.1999999999999993</v>
      </c>
      <c r="G244" t="s">
        <v>13</v>
      </c>
      <c r="J244">
        <f>HOUR(Table1[[#This Row],[START_DATE]])</f>
        <v>21</v>
      </c>
      <c r="K244" s="2">
        <f t="shared" si="6"/>
        <v>42447</v>
      </c>
      <c r="L244" t="str">
        <f t="shared" si="7"/>
        <v>Friday</v>
      </c>
    </row>
    <row r="245" spans="1:12" x14ac:dyDescent="0.35">
      <c r="A245" s="1">
        <v>42448.381944444445</v>
      </c>
      <c r="B245" s="1">
        <v>42448.392361111109</v>
      </c>
      <c r="C245" t="s">
        <v>7</v>
      </c>
      <c r="D245" t="s">
        <v>21</v>
      </c>
      <c r="E245" t="s">
        <v>90</v>
      </c>
      <c r="F245">
        <v>9.4</v>
      </c>
      <c r="G245" t="s">
        <v>9</v>
      </c>
      <c r="J245">
        <f>HOUR(Table1[[#This Row],[START_DATE]])</f>
        <v>9</v>
      </c>
      <c r="K245" s="2">
        <f t="shared" si="6"/>
        <v>42448</v>
      </c>
      <c r="L245" t="str">
        <f t="shared" si="7"/>
        <v>Saturday</v>
      </c>
    </row>
    <row r="246" spans="1:12" x14ac:dyDescent="0.35">
      <c r="A246" s="1">
        <v>42448.534722222219</v>
      </c>
      <c r="B246" s="1">
        <v>42448.550694444442</v>
      </c>
      <c r="C246" t="s">
        <v>7</v>
      </c>
      <c r="D246" t="s">
        <v>33</v>
      </c>
      <c r="E246" t="s">
        <v>91</v>
      </c>
      <c r="F246">
        <v>12</v>
      </c>
      <c r="G246" t="s">
        <v>13</v>
      </c>
      <c r="J246">
        <f>HOUR(Table1[[#This Row],[START_DATE]])</f>
        <v>12</v>
      </c>
      <c r="K246" s="2">
        <f t="shared" si="6"/>
        <v>42448</v>
      </c>
      <c r="L246" t="str">
        <f t="shared" si="7"/>
        <v>Saturday</v>
      </c>
    </row>
    <row r="247" spans="1:12" x14ac:dyDescent="0.35">
      <c r="A247" s="1">
        <v>42448.584027777775</v>
      </c>
      <c r="B247" s="1">
        <v>42448.622916666667</v>
      </c>
      <c r="C247" t="s">
        <v>7</v>
      </c>
      <c r="D247" t="s">
        <v>91</v>
      </c>
      <c r="E247" t="s">
        <v>33</v>
      </c>
      <c r="F247">
        <v>35.1</v>
      </c>
      <c r="G247" t="s">
        <v>13</v>
      </c>
      <c r="J247">
        <f>HOUR(Table1[[#This Row],[START_DATE]])</f>
        <v>14</v>
      </c>
      <c r="K247" s="2">
        <f t="shared" si="6"/>
        <v>42448</v>
      </c>
      <c r="L247" t="str">
        <f t="shared" si="7"/>
        <v>Saturday</v>
      </c>
    </row>
    <row r="248" spans="1:12" x14ac:dyDescent="0.35">
      <c r="A248" s="1">
        <v>42448.648611111108</v>
      </c>
      <c r="B248" s="1">
        <v>42448.693055555559</v>
      </c>
      <c r="C248" t="s">
        <v>7</v>
      </c>
      <c r="D248" t="s">
        <v>33</v>
      </c>
      <c r="E248" t="s">
        <v>92</v>
      </c>
      <c r="F248">
        <v>36.5</v>
      </c>
      <c r="G248" t="s">
        <v>9</v>
      </c>
      <c r="J248">
        <f>HOUR(Table1[[#This Row],[START_DATE]])</f>
        <v>15</v>
      </c>
      <c r="K248" s="2">
        <f t="shared" si="6"/>
        <v>42448</v>
      </c>
      <c r="L248" t="str">
        <f t="shared" si="7"/>
        <v>Saturday</v>
      </c>
    </row>
    <row r="249" spans="1:12" x14ac:dyDescent="0.35">
      <c r="A249" s="1">
        <v>42448.720138888886</v>
      </c>
      <c r="B249" s="1">
        <v>42448.730555555558</v>
      </c>
      <c r="C249" t="s">
        <v>7</v>
      </c>
      <c r="D249" t="s">
        <v>92</v>
      </c>
      <c r="E249" t="s">
        <v>93</v>
      </c>
      <c r="F249">
        <v>3.1</v>
      </c>
      <c r="G249" t="s">
        <v>9</v>
      </c>
      <c r="J249">
        <f>HOUR(Table1[[#This Row],[START_DATE]])</f>
        <v>17</v>
      </c>
      <c r="K249" s="2">
        <f t="shared" si="6"/>
        <v>42448</v>
      </c>
      <c r="L249" t="str">
        <f t="shared" si="7"/>
        <v>Saturday</v>
      </c>
    </row>
    <row r="250" spans="1:12" x14ac:dyDescent="0.35">
      <c r="A250" s="1">
        <v>42448.734027777777</v>
      </c>
      <c r="B250" s="1">
        <v>42448.740972222222</v>
      </c>
      <c r="C250" t="s">
        <v>7</v>
      </c>
      <c r="D250" t="s">
        <v>93</v>
      </c>
      <c r="E250" t="s">
        <v>93</v>
      </c>
      <c r="F250">
        <v>2.1</v>
      </c>
      <c r="G250" t="s">
        <v>10</v>
      </c>
      <c r="J250">
        <f>HOUR(Table1[[#This Row],[START_DATE]])</f>
        <v>17</v>
      </c>
      <c r="K250" s="2">
        <f t="shared" si="6"/>
        <v>42448</v>
      </c>
      <c r="L250" t="str">
        <f t="shared" si="7"/>
        <v>Saturday</v>
      </c>
    </row>
    <row r="251" spans="1:12" x14ac:dyDescent="0.35">
      <c r="A251" s="1">
        <v>42448.744444444441</v>
      </c>
      <c r="B251" s="1">
        <v>42448.75</v>
      </c>
      <c r="C251" t="s">
        <v>7</v>
      </c>
      <c r="D251" t="s">
        <v>93</v>
      </c>
      <c r="E251" t="s">
        <v>93</v>
      </c>
      <c r="F251">
        <v>1.2</v>
      </c>
      <c r="J251">
        <f>HOUR(Table1[[#This Row],[START_DATE]])</f>
        <v>17</v>
      </c>
      <c r="K251" s="2">
        <f t="shared" si="6"/>
        <v>42448</v>
      </c>
      <c r="L251" t="str">
        <f t="shared" si="7"/>
        <v>Saturday</v>
      </c>
    </row>
    <row r="252" spans="1:12" x14ac:dyDescent="0.35">
      <c r="A252" s="1">
        <v>42448.786805555559</v>
      </c>
      <c r="B252" s="1">
        <v>42448.811805555553</v>
      </c>
      <c r="C252" t="s">
        <v>7</v>
      </c>
      <c r="D252" t="s">
        <v>93</v>
      </c>
      <c r="E252" t="s">
        <v>92</v>
      </c>
      <c r="F252">
        <v>7.5</v>
      </c>
      <c r="G252" t="s">
        <v>11</v>
      </c>
      <c r="J252">
        <f>HOUR(Table1[[#This Row],[START_DATE]])</f>
        <v>18</v>
      </c>
      <c r="K252" s="2">
        <f t="shared" si="6"/>
        <v>42448</v>
      </c>
      <c r="L252" t="str">
        <f t="shared" si="7"/>
        <v>Saturday</v>
      </c>
    </row>
    <row r="253" spans="1:12" x14ac:dyDescent="0.35">
      <c r="A253" s="1">
        <v>42448.814583333333</v>
      </c>
      <c r="B253" s="1">
        <v>42448.86041666667</v>
      </c>
      <c r="C253" t="s">
        <v>7</v>
      </c>
      <c r="D253" t="s">
        <v>92</v>
      </c>
      <c r="E253" t="s">
        <v>33</v>
      </c>
      <c r="F253">
        <v>57</v>
      </c>
      <c r="G253" t="s">
        <v>13</v>
      </c>
      <c r="J253">
        <f>HOUR(Table1[[#This Row],[START_DATE]])</f>
        <v>19</v>
      </c>
      <c r="K253" s="2">
        <f t="shared" si="6"/>
        <v>42448</v>
      </c>
      <c r="L253" t="str">
        <f t="shared" si="7"/>
        <v>Saturday</v>
      </c>
    </row>
    <row r="254" spans="1:12" x14ac:dyDescent="0.35">
      <c r="A254" s="1">
        <v>42449.317361111112</v>
      </c>
      <c r="B254" s="1">
        <v>42449.324999999997</v>
      </c>
      <c r="C254" t="s">
        <v>7</v>
      </c>
      <c r="D254" t="s">
        <v>21</v>
      </c>
      <c r="E254" t="s">
        <v>94</v>
      </c>
      <c r="F254">
        <v>5.9</v>
      </c>
      <c r="G254" t="s">
        <v>11</v>
      </c>
      <c r="J254">
        <f>HOUR(Table1[[#This Row],[START_DATE]])</f>
        <v>7</v>
      </c>
      <c r="K254" s="2">
        <f t="shared" si="6"/>
        <v>42449</v>
      </c>
      <c r="L254" t="str">
        <f t="shared" si="7"/>
        <v>Sunday</v>
      </c>
    </row>
    <row r="255" spans="1:12" x14ac:dyDescent="0.35">
      <c r="A255" s="1">
        <v>42449.487500000003</v>
      </c>
      <c r="B255" s="1">
        <v>42449.49722222222</v>
      </c>
      <c r="C255" t="s">
        <v>7</v>
      </c>
      <c r="D255" t="s">
        <v>94</v>
      </c>
      <c r="E255" t="s">
        <v>21</v>
      </c>
      <c r="F255">
        <v>6.2</v>
      </c>
      <c r="G255" t="s">
        <v>11</v>
      </c>
      <c r="J255">
        <f>HOUR(Table1[[#This Row],[START_DATE]])</f>
        <v>11</v>
      </c>
      <c r="K255" s="2">
        <f t="shared" si="6"/>
        <v>42449</v>
      </c>
      <c r="L255" t="str">
        <f t="shared" si="7"/>
        <v>Sunday</v>
      </c>
    </row>
    <row r="256" spans="1:12" x14ac:dyDescent="0.35">
      <c r="A256" s="1">
        <v>42449.713888888888</v>
      </c>
      <c r="B256" s="1">
        <v>42449.731944444444</v>
      </c>
      <c r="C256" t="s">
        <v>7</v>
      </c>
      <c r="D256" t="s">
        <v>21</v>
      </c>
      <c r="E256" t="s">
        <v>90</v>
      </c>
      <c r="F256">
        <v>10.4</v>
      </c>
      <c r="J256">
        <f>HOUR(Table1[[#This Row],[START_DATE]])</f>
        <v>17</v>
      </c>
      <c r="K256" s="2">
        <f t="shared" si="6"/>
        <v>42449</v>
      </c>
      <c r="L256" t="str">
        <f t="shared" si="7"/>
        <v>Sunday</v>
      </c>
    </row>
    <row r="257" spans="1:12" x14ac:dyDescent="0.35">
      <c r="A257" s="1">
        <v>42449.773611111108</v>
      </c>
      <c r="B257" s="1">
        <v>42449.777777777781</v>
      </c>
      <c r="C257" t="s">
        <v>55</v>
      </c>
      <c r="D257" t="s">
        <v>90</v>
      </c>
      <c r="E257" t="s">
        <v>95</v>
      </c>
      <c r="F257">
        <v>1.2</v>
      </c>
      <c r="J257">
        <f>HOUR(Table1[[#This Row],[START_DATE]])</f>
        <v>18</v>
      </c>
      <c r="K257" s="2">
        <f t="shared" si="6"/>
        <v>42449</v>
      </c>
      <c r="L257" t="str">
        <f t="shared" si="7"/>
        <v>Sunday</v>
      </c>
    </row>
    <row r="258" spans="1:12" x14ac:dyDescent="0.35">
      <c r="A258" s="1">
        <v>42449.78125</v>
      </c>
      <c r="B258" s="1">
        <v>42449.79583333333</v>
      </c>
      <c r="C258" t="s">
        <v>7</v>
      </c>
      <c r="D258" t="s">
        <v>95</v>
      </c>
      <c r="E258" t="s">
        <v>21</v>
      </c>
      <c r="F258">
        <v>9.6</v>
      </c>
      <c r="G258" t="s">
        <v>13</v>
      </c>
      <c r="J258">
        <f>HOUR(Table1[[#This Row],[START_DATE]])</f>
        <v>18</v>
      </c>
      <c r="K258" s="2">
        <f t="shared" si="6"/>
        <v>42449</v>
      </c>
      <c r="L258" t="str">
        <f t="shared" si="7"/>
        <v>Sunday</v>
      </c>
    </row>
    <row r="259" spans="1:12" x14ac:dyDescent="0.35">
      <c r="A259" s="1">
        <v>42450.431250000001</v>
      </c>
      <c r="B259" s="1">
        <v>42450.43472222222</v>
      </c>
      <c r="C259" t="s">
        <v>55</v>
      </c>
      <c r="D259" t="s">
        <v>21</v>
      </c>
      <c r="E259" t="s">
        <v>31</v>
      </c>
      <c r="F259">
        <v>1</v>
      </c>
      <c r="J259">
        <f>HOUR(Table1[[#This Row],[START_DATE]])</f>
        <v>10</v>
      </c>
      <c r="K259" s="2">
        <f t="shared" ref="K259:K322" si="8">DATE(YEAR(A259), MONTH(A259), DAY(A259))</f>
        <v>42450</v>
      </c>
      <c r="L259" t="str">
        <f t="shared" ref="L259:L322" si="9">TEXT(A259,"dddd")</f>
        <v>Monday</v>
      </c>
    </row>
    <row r="260" spans="1:12" x14ac:dyDescent="0.35">
      <c r="A260" s="1">
        <v>42450.670138888891</v>
      </c>
      <c r="B260" s="1">
        <v>42450.675694444442</v>
      </c>
      <c r="C260" t="s">
        <v>7</v>
      </c>
      <c r="D260" t="s">
        <v>31</v>
      </c>
      <c r="E260" t="s">
        <v>21</v>
      </c>
      <c r="F260">
        <v>0.9</v>
      </c>
      <c r="G260" t="s">
        <v>9</v>
      </c>
      <c r="J260">
        <f>HOUR(Table1[[#This Row],[START_DATE]])</f>
        <v>16</v>
      </c>
      <c r="K260" s="2">
        <f t="shared" si="8"/>
        <v>42450</v>
      </c>
      <c r="L260" t="str">
        <f t="shared" si="9"/>
        <v>Monday</v>
      </c>
    </row>
    <row r="261" spans="1:12" x14ac:dyDescent="0.35">
      <c r="A261" s="1">
        <v>42450.790972222225</v>
      </c>
      <c r="B261" s="1">
        <v>42450.802083333336</v>
      </c>
      <c r="C261" t="s">
        <v>7</v>
      </c>
      <c r="D261" t="s">
        <v>21</v>
      </c>
      <c r="E261" t="s">
        <v>90</v>
      </c>
      <c r="F261">
        <v>8.8000000000000007</v>
      </c>
      <c r="J261">
        <f>HOUR(Table1[[#This Row],[START_DATE]])</f>
        <v>18</v>
      </c>
      <c r="K261" s="2">
        <f t="shared" si="8"/>
        <v>42450</v>
      </c>
      <c r="L261" t="str">
        <f t="shared" si="9"/>
        <v>Monday</v>
      </c>
    </row>
    <row r="262" spans="1:12" x14ac:dyDescent="0.35">
      <c r="A262" s="1">
        <v>42450.845833333333</v>
      </c>
      <c r="B262" s="1">
        <v>42450.871527777781</v>
      </c>
      <c r="C262" t="s">
        <v>7</v>
      </c>
      <c r="D262" t="s">
        <v>90</v>
      </c>
      <c r="E262" t="s">
        <v>21</v>
      </c>
      <c r="F262">
        <v>25.6</v>
      </c>
      <c r="G262" t="s">
        <v>9</v>
      </c>
      <c r="J262">
        <f>HOUR(Table1[[#This Row],[START_DATE]])</f>
        <v>20</v>
      </c>
      <c r="K262" s="2">
        <f t="shared" si="8"/>
        <v>42450</v>
      </c>
      <c r="L262" t="str">
        <f t="shared" si="9"/>
        <v>Monday</v>
      </c>
    </row>
    <row r="263" spans="1:12" x14ac:dyDescent="0.35">
      <c r="A263" s="1">
        <v>42451.261805555558</v>
      </c>
      <c r="B263" s="1">
        <v>42451.279861111114</v>
      </c>
      <c r="C263" t="s">
        <v>7</v>
      </c>
      <c r="D263" t="s">
        <v>21</v>
      </c>
      <c r="E263" t="s">
        <v>96</v>
      </c>
      <c r="F263">
        <v>23</v>
      </c>
      <c r="G263" t="s">
        <v>9</v>
      </c>
      <c r="J263">
        <f>HOUR(Table1[[#This Row],[START_DATE]])</f>
        <v>6</v>
      </c>
      <c r="K263" s="2">
        <f t="shared" si="8"/>
        <v>42451</v>
      </c>
      <c r="L263" t="str">
        <f t="shared" si="9"/>
        <v>Tuesday</v>
      </c>
    </row>
    <row r="264" spans="1:12" x14ac:dyDescent="0.35">
      <c r="A264" s="1">
        <v>42451.504166666666</v>
      </c>
      <c r="B264" s="1">
        <v>42451.51666666667</v>
      </c>
      <c r="C264" t="s">
        <v>55</v>
      </c>
      <c r="D264" t="s">
        <v>16</v>
      </c>
      <c r="E264" t="s">
        <v>15</v>
      </c>
      <c r="F264">
        <v>8.1</v>
      </c>
      <c r="J264">
        <f>HOUR(Table1[[#This Row],[START_DATE]])</f>
        <v>12</v>
      </c>
      <c r="K264" s="2">
        <f t="shared" si="8"/>
        <v>42451</v>
      </c>
      <c r="L264" t="str">
        <f t="shared" si="9"/>
        <v>Tuesday</v>
      </c>
    </row>
    <row r="265" spans="1:12" x14ac:dyDescent="0.35">
      <c r="A265" s="1">
        <v>42451.8</v>
      </c>
      <c r="B265" s="1">
        <v>42451.809027777781</v>
      </c>
      <c r="C265" t="s">
        <v>55</v>
      </c>
      <c r="D265" t="s">
        <v>38</v>
      </c>
      <c r="E265" t="s">
        <v>38</v>
      </c>
      <c r="F265">
        <v>1.4</v>
      </c>
      <c r="J265">
        <f>HOUR(Table1[[#This Row],[START_DATE]])</f>
        <v>19</v>
      </c>
      <c r="K265" s="2">
        <f t="shared" si="8"/>
        <v>42451</v>
      </c>
      <c r="L265" t="str">
        <f t="shared" si="9"/>
        <v>Tuesday</v>
      </c>
    </row>
    <row r="266" spans="1:12" x14ac:dyDescent="0.35">
      <c r="A266" s="1">
        <v>42452.609027777777</v>
      </c>
      <c r="B266" s="1">
        <v>42452.612500000003</v>
      </c>
      <c r="C266" t="s">
        <v>55</v>
      </c>
      <c r="D266" t="s">
        <v>38</v>
      </c>
      <c r="E266" t="s">
        <v>57</v>
      </c>
      <c r="F266">
        <v>1.7</v>
      </c>
      <c r="J266">
        <f>HOUR(Table1[[#This Row],[START_DATE]])</f>
        <v>14</v>
      </c>
      <c r="K266" s="2">
        <f t="shared" si="8"/>
        <v>42452</v>
      </c>
      <c r="L266" t="str">
        <f t="shared" si="9"/>
        <v>Wednesday</v>
      </c>
    </row>
    <row r="267" spans="1:12" x14ac:dyDescent="0.35">
      <c r="A267" s="1">
        <v>42452.620138888888</v>
      </c>
      <c r="B267" s="1">
        <v>42452.624305555553</v>
      </c>
      <c r="C267" t="s">
        <v>55</v>
      </c>
      <c r="D267" t="s">
        <v>57</v>
      </c>
      <c r="E267" t="s">
        <v>38</v>
      </c>
      <c r="F267">
        <v>1.6</v>
      </c>
      <c r="J267">
        <f>HOUR(Table1[[#This Row],[START_DATE]])</f>
        <v>14</v>
      </c>
      <c r="K267" s="2">
        <f t="shared" si="8"/>
        <v>42452</v>
      </c>
      <c r="L267" t="str">
        <f t="shared" si="9"/>
        <v>Wednesday</v>
      </c>
    </row>
    <row r="268" spans="1:12" x14ac:dyDescent="0.35">
      <c r="A268" s="1">
        <v>42453.824305555558</v>
      </c>
      <c r="B268" s="1">
        <v>42453.82916666667</v>
      </c>
      <c r="C268" t="s">
        <v>55</v>
      </c>
      <c r="D268" t="s">
        <v>38</v>
      </c>
      <c r="E268" t="s">
        <v>44</v>
      </c>
      <c r="F268">
        <v>2</v>
      </c>
      <c r="J268">
        <f>HOUR(Table1[[#This Row],[START_DATE]])</f>
        <v>19</v>
      </c>
      <c r="K268" s="2">
        <f t="shared" si="8"/>
        <v>42453</v>
      </c>
      <c r="L268" t="str">
        <f t="shared" si="9"/>
        <v>Thursday</v>
      </c>
    </row>
    <row r="269" spans="1:12" x14ac:dyDescent="0.35">
      <c r="A269" s="1">
        <v>42453.856944444444</v>
      </c>
      <c r="B269" s="1">
        <v>42453.861111111109</v>
      </c>
      <c r="C269" t="s">
        <v>7</v>
      </c>
      <c r="D269" t="s">
        <v>44</v>
      </c>
      <c r="E269" t="s">
        <v>38</v>
      </c>
      <c r="F269">
        <v>2.2000000000000002</v>
      </c>
      <c r="J269">
        <f>HOUR(Table1[[#This Row],[START_DATE]])</f>
        <v>20</v>
      </c>
      <c r="K269" s="2">
        <f t="shared" si="8"/>
        <v>42453</v>
      </c>
      <c r="L269" t="str">
        <f t="shared" si="9"/>
        <v>Thursday</v>
      </c>
    </row>
    <row r="270" spans="1:12" x14ac:dyDescent="0.35">
      <c r="A270" s="1">
        <v>42454.558333333334</v>
      </c>
      <c r="B270" s="1">
        <v>42454.681944444441</v>
      </c>
      <c r="C270" t="s">
        <v>7</v>
      </c>
      <c r="D270" t="s">
        <v>15</v>
      </c>
      <c r="E270" t="s">
        <v>97</v>
      </c>
      <c r="F270">
        <v>144</v>
      </c>
      <c r="G270" t="s">
        <v>13</v>
      </c>
      <c r="J270">
        <f>HOUR(Table1[[#This Row],[START_DATE]])</f>
        <v>13</v>
      </c>
      <c r="K270" s="2">
        <f t="shared" si="8"/>
        <v>42454</v>
      </c>
      <c r="L270" t="str">
        <f t="shared" si="9"/>
        <v>Friday</v>
      </c>
    </row>
    <row r="271" spans="1:12" x14ac:dyDescent="0.35">
      <c r="A271" s="1">
        <v>42454.702777777777</v>
      </c>
      <c r="B271" s="1">
        <v>42454.931944444441</v>
      </c>
      <c r="C271" t="s">
        <v>7</v>
      </c>
      <c r="D271" t="s">
        <v>97</v>
      </c>
      <c r="E271" t="s">
        <v>98</v>
      </c>
      <c r="F271">
        <v>310.3</v>
      </c>
      <c r="G271" t="s">
        <v>13</v>
      </c>
      <c r="J271">
        <f>HOUR(Table1[[#This Row],[START_DATE]])</f>
        <v>16</v>
      </c>
      <c r="K271" s="2">
        <f t="shared" si="8"/>
        <v>42454</v>
      </c>
      <c r="L271" t="str">
        <f t="shared" si="9"/>
        <v>Friday</v>
      </c>
    </row>
    <row r="272" spans="1:12" x14ac:dyDescent="0.35">
      <c r="A272" s="1">
        <v>42454.95416666667</v>
      </c>
      <c r="B272" s="1">
        <v>42455.068749999999</v>
      </c>
      <c r="C272" t="s">
        <v>7</v>
      </c>
      <c r="D272" t="s">
        <v>98</v>
      </c>
      <c r="E272" t="s">
        <v>99</v>
      </c>
      <c r="F272">
        <v>201</v>
      </c>
      <c r="G272" t="s">
        <v>11</v>
      </c>
      <c r="J272">
        <f>HOUR(Table1[[#This Row],[START_DATE]])</f>
        <v>22</v>
      </c>
      <c r="K272" s="2">
        <f t="shared" si="8"/>
        <v>42454</v>
      </c>
      <c r="L272" t="str">
        <f t="shared" si="9"/>
        <v>Friday</v>
      </c>
    </row>
    <row r="273" spans="1:12" x14ac:dyDescent="0.35">
      <c r="A273" s="1">
        <v>42455.586805555555</v>
      </c>
      <c r="B273" s="1">
        <v>42455.603472222225</v>
      </c>
      <c r="C273" t="s">
        <v>55</v>
      </c>
      <c r="D273" t="s">
        <v>100</v>
      </c>
      <c r="E273" t="s">
        <v>101</v>
      </c>
      <c r="F273">
        <v>6.7</v>
      </c>
      <c r="J273">
        <f>HOUR(Table1[[#This Row],[START_DATE]])</f>
        <v>14</v>
      </c>
      <c r="K273" s="2">
        <f t="shared" si="8"/>
        <v>42455</v>
      </c>
      <c r="L273" t="str">
        <f t="shared" si="9"/>
        <v>Saturday</v>
      </c>
    </row>
    <row r="274" spans="1:12" x14ac:dyDescent="0.35">
      <c r="A274" s="1">
        <v>42455.638194444444</v>
      </c>
      <c r="B274" s="1">
        <v>42455.65902777778</v>
      </c>
      <c r="C274" t="s">
        <v>55</v>
      </c>
      <c r="D274" t="s">
        <v>99</v>
      </c>
      <c r="E274" t="s">
        <v>102</v>
      </c>
      <c r="F274">
        <v>8.8000000000000007</v>
      </c>
      <c r="J274">
        <f>HOUR(Table1[[#This Row],[START_DATE]])</f>
        <v>15</v>
      </c>
      <c r="K274" s="2">
        <f t="shared" si="8"/>
        <v>42455</v>
      </c>
      <c r="L274" t="str">
        <f t="shared" si="9"/>
        <v>Saturday</v>
      </c>
    </row>
    <row r="275" spans="1:12" x14ac:dyDescent="0.35">
      <c r="A275" s="1">
        <v>42455.68472222222</v>
      </c>
      <c r="B275" s="1">
        <v>42455.6875</v>
      </c>
      <c r="C275" t="s">
        <v>55</v>
      </c>
      <c r="D275" t="s">
        <v>103</v>
      </c>
      <c r="E275" t="s">
        <v>103</v>
      </c>
      <c r="F275">
        <v>1.2</v>
      </c>
      <c r="J275">
        <f>HOUR(Table1[[#This Row],[START_DATE]])</f>
        <v>16</v>
      </c>
      <c r="K275" s="2">
        <f t="shared" si="8"/>
        <v>42455</v>
      </c>
      <c r="L275" t="str">
        <f t="shared" si="9"/>
        <v>Saturday</v>
      </c>
    </row>
    <row r="276" spans="1:12" x14ac:dyDescent="0.35">
      <c r="A276" s="1">
        <v>42456.021527777775</v>
      </c>
      <c r="B276" s="1">
        <v>42456.027777777781</v>
      </c>
      <c r="C276" t="s">
        <v>7</v>
      </c>
      <c r="D276" t="s">
        <v>103</v>
      </c>
      <c r="E276" t="s">
        <v>103</v>
      </c>
      <c r="F276">
        <v>2.1</v>
      </c>
      <c r="G276" t="s">
        <v>10</v>
      </c>
      <c r="J276">
        <f>HOUR(Table1[[#This Row],[START_DATE]])</f>
        <v>0</v>
      </c>
      <c r="K276" s="2">
        <f t="shared" si="8"/>
        <v>42456</v>
      </c>
      <c r="L276" t="str">
        <f t="shared" si="9"/>
        <v>Sunday</v>
      </c>
    </row>
    <row r="277" spans="1:12" x14ac:dyDescent="0.35">
      <c r="A277" s="1">
        <v>42456.049305555556</v>
      </c>
      <c r="B277" s="1">
        <v>42456.057638888888</v>
      </c>
      <c r="C277" t="s">
        <v>7</v>
      </c>
      <c r="D277" t="s">
        <v>102</v>
      </c>
      <c r="E277" t="s">
        <v>99</v>
      </c>
      <c r="F277">
        <v>6.6</v>
      </c>
      <c r="G277" t="s">
        <v>9</v>
      </c>
      <c r="J277">
        <f>HOUR(Table1[[#This Row],[START_DATE]])</f>
        <v>1</v>
      </c>
      <c r="K277" s="2">
        <f t="shared" si="8"/>
        <v>42456</v>
      </c>
      <c r="L277" t="str">
        <f t="shared" si="9"/>
        <v>Sunday</v>
      </c>
    </row>
    <row r="278" spans="1:12" x14ac:dyDescent="0.35">
      <c r="A278" s="1">
        <v>42456.646527777775</v>
      </c>
      <c r="B278" s="1">
        <v>42456.663888888892</v>
      </c>
      <c r="C278" t="s">
        <v>7</v>
      </c>
      <c r="D278" t="s">
        <v>99</v>
      </c>
      <c r="E278" t="s">
        <v>102</v>
      </c>
      <c r="F278">
        <v>6.1</v>
      </c>
      <c r="G278" t="s">
        <v>13</v>
      </c>
      <c r="J278">
        <f>HOUR(Table1[[#This Row],[START_DATE]])</f>
        <v>15</v>
      </c>
      <c r="K278" s="2">
        <f t="shared" si="8"/>
        <v>42456</v>
      </c>
      <c r="L278" t="str">
        <f t="shared" si="9"/>
        <v>Sunday</v>
      </c>
    </row>
    <row r="279" spans="1:12" x14ac:dyDescent="0.35">
      <c r="A279" s="1">
        <v>42456.893055555556</v>
      </c>
      <c r="B279" s="1">
        <v>42456.90347222222</v>
      </c>
      <c r="C279" t="s">
        <v>55</v>
      </c>
      <c r="D279" t="s">
        <v>102</v>
      </c>
      <c r="E279" t="s">
        <v>102</v>
      </c>
      <c r="F279">
        <v>6.9</v>
      </c>
      <c r="J279">
        <f>HOUR(Table1[[#This Row],[START_DATE]])</f>
        <v>21</v>
      </c>
      <c r="K279" s="2">
        <f t="shared" si="8"/>
        <v>42456</v>
      </c>
      <c r="L279" t="str">
        <f t="shared" si="9"/>
        <v>Sunday</v>
      </c>
    </row>
    <row r="280" spans="1:12" x14ac:dyDescent="0.35">
      <c r="A280" s="1">
        <v>42456.961111111108</v>
      </c>
      <c r="B280" s="1">
        <v>42456.970833333333</v>
      </c>
      <c r="C280" t="s">
        <v>55</v>
      </c>
      <c r="D280" t="s">
        <v>102</v>
      </c>
      <c r="E280" t="s">
        <v>99</v>
      </c>
      <c r="F280">
        <v>7.3</v>
      </c>
      <c r="J280">
        <f>HOUR(Table1[[#This Row],[START_DATE]])</f>
        <v>23</v>
      </c>
      <c r="K280" s="2">
        <f t="shared" si="8"/>
        <v>42456</v>
      </c>
      <c r="L280" t="str">
        <f t="shared" si="9"/>
        <v>Sunday</v>
      </c>
    </row>
    <row r="281" spans="1:12" x14ac:dyDescent="0.35">
      <c r="A281" s="1">
        <v>42457.520138888889</v>
      </c>
      <c r="B281" s="1">
        <v>42457.529166666667</v>
      </c>
      <c r="C281" t="s">
        <v>55</v>
      </c>
      <c r="D281" t="s">
        <v>99</v>
      </c>
      <c r="E281" t="s">
        <v>102</v>
      </c>
      <c r="F281">
        <v>3.6</v>
      </c>
      <c r="J281">
        <f>HOUR(Table1[[#This Row],[START_DATE]])</f>
        <v>12</v>
      </c>
      <c r="K281" s="2">
        <f t="shared" si="8"/>
        <v>42457</v>
      </c>
      <c r="L281" t="str">
        <f t="shared" si="9"/>
        <v>Monday</v>
      </c>
    </row>
    <row r="282" spans="1:12" x14ac:dyDescent="0.35">
      <c r="A282" s="1">
        <v>42457.8125</v>
      </c>
      <c r="B282" s="1">
        <v>42457.849305555559</v>
      </c>
      <c r="C282" t="s">
        <v>55</v>
      </c>
      <c r="D282" t="s">
        <v>100</v>
      </c>
      <c r="E282" t="s">
        <v>104</v>
      </c>
      <c r="F282">
        <v>27.2</v>
      </c>
      <c r="J282">
        <f>HOUR(Table1[[#This Row],[START_DATE]])</f>
        <v>19</v>
      </c>
      <c r="K282" s="2">
        <f t="shared" si="8"/>
        <v>42457</v>
      </c>
      <c r="L282" t="str">
        <f t="shared" si="9"/>
        <v>Monday</v>
      </c>
    </row>
    <row r="283" spans="1:12" x14ac:dyDescent="0.35">
      <c r="A283" s="1">
        <v>42457.954861111109</v>
      </c>
      <c r="B283" s="1">
        <v>42457.976388888892</v>
      </c>
      <c r="C283" t="s">
        <v>55</v>
      </c>
      <c r="D283" t="s">
        <v>102</v>
      </c>
      <c r="E283" t="s">
        <v>99</v>
      </c>
      <c r="F283">
        <v>25.7</v>
      </c>
      <c r="J283">
        <f>HOUR(Table1[[#This Row],[START_DATE]])</f>
        <v>22</v>
      </c>
      <c r="K283" s="2">
        <f t="shared" si="8"/>
        <v>42457</v>
      </c>
      <c r="L283" t="str">
        <f t="shared" si="9"/>
        <v>Monday</v>
      </c>
    </row>
    <row r="284" spans="1:12" x14ac:dyDescent="0.35">
      <c r="A284" s="1">
        <v>42458.643750000003</v>
      </c>
      <c r="B284" s="1">
        <v>42458.674305555556</v>
      </c>
      <c r="C284" t="s">
        <v>55</v>
      </c>
      <c r="D284" t="s">
        <v>99</v>
      </c>
      <c r="E284" t="s">
        <v>102</v>
      </c>
      <c r="F284">
        <v>13.6</v>
      </c>
      <c r="J284">
        <f>HOUR(Table1[[#This Row],[START_DATE]])</f>
        <v>15</v>
      </c>
      <c r="K284" s="2">
        <f t="shared" si="8"/>
        <v>42458</v>
      </c>
      <c r="L284" t="str">
        <f t="shared" si="9"/>
        <v>Tuesday</v>
      </c>
    </row>
    <row r="285" spans="1:12" x14ac:dyDescent="0.35">
      <c r="A285" s="1">
        <v>42458.763888888891</v>
      </c>
      <c r="B285" s="1">
        <v>42458.777083333334</v>
      </c>
      <c r="C285" t="s">
        <v>55</v>
      </c>
      <c r="D285" t="s">
        <v>105</v>
      </c>
      <c r="E285" t="s">
        <v>106</v>
      </c>
      <c r="F285">
        <v>6.2</v>
      </c>
      <c r="J285">
        <f>HOUR(Table1[[#This Row],[START_DATE]])</f>
        <v>18</v>
      </c>
      <c r="K285" s="2">
        <f t="shared" si="8"/>
        <v>42458</v>
      </c>
      <c r="L285" t="str">
        <f t="shared" si="9"/>
        <v>Tuesday</v>
      </c>
    </row>
    <row r="286" spans="1:12" x14ac:dyDescent="0.35">
      <c r="A286" s="1">
        <v>42458.853472222225</v>
      </c>
      <c r="B286" s="1">
        <v>42458.863888888889</v>
      </c>
      <c r="C286" t="s">
        <v>55</v>
      </c>
      <c r="D286" t="s">
        <v>106</v>
      </c>
      <c r="E286" t="s">
        <v>105</v>
      </c>
      <c r="F286">
        <v>6</v>
      </c>
      <c r="J286">
        <f>HOUR(Table1[[#This Row],[START_DATE]])</f>
        <v>20</v>
      </c>
      <c r="K286" s="2">
        <f t="shared" si="8"/>
        <v>42458</v>
      </c>
      <c r="L286" t="str">
        <f t="shared" si="9"/>
        <v>Tuesday</v>
      </c>
    </row>
    <row r="287" spans="1:12" x14ac:dyDescent="0.35">
      <c r="A287" s="1">
        <v>42458.961111111108</v>
      </c>
      <c r="B287" s="1">
        <v>42458.972916666666</v>
      </c>
      <c r="C287" t="s">
        <v>55</v>
      </c>
      <c r="D287" t="s">
        <v>102</v>
      </c>
      <c r="E287" t="s">
        <v>99</v>
      </c>
      <c r="F287">
        <v>13.8</v>
      </c>
      <c r="J287">
        <f>HOUR(Table1[[#This Row],[START_DATE]])</f>
        <v>23</v>
      </c>
      <c r="K287" s="2">
        <f t="shared" si="8"/>
        <v>42458</v>
      </c>
      <c r="L287" t="str">
        <f t="shared" si="9"/>
        <v>Tuesday</v>
      </c>
    </row>
    <row r="288" spans="1:12" x14ac:dyDescent="0.35">
      <c r="A288" s="1">
        <v>42459.920138888891</v>
      </c>
      <c r="B288" s="1">
        <v>42459.954861111109</v>
      </c>
      <c r="C288" t="s">
        <v>7</v>
      </c>
      <c r="D288" t="s">
        <v>102</v>
      </c>
      <c r="E288" t="s">
        <v>99</v>
      </c>
      <c r="F288">
        <v>28.8</v>
      </c>
      <c r="G288" t="s">
        <v>9</v>
      </c>
      <c r="J288">
        <f>HOUR(Table1[[#This Row],[START_DATE]])</f>
        <v>22</v>
      </c>
      <c r="K288" s="2">
        <f t="shared" si="8"/>
        <v>42459</v>
      </c>
      <c r="L288" t="str">
        <f t="shared" si="9"/>
        <v>Wednesday</v>
      </c>
    </row>
    <row r="289" spans="1:12" x14ac:dyDescent="0.35">
      <c r="A289" s="1">
        <v>42460.532638888886</v>
      </c>
      <c r="B289" s="1">
        <v>42460.556944444441</v>
      </c>
      <c r="C289" t="s">
        <v>7</v>
      </c>
      <c r="D289" t="s">
        <v>99</v>
      </c>
      <c r="E289" t="s">
        <v>102</v>
      </c>
      <c r="F289">
        <v>16.100000000000001</v>
      </c>
      <c r="G289" t="s">
        <v>24</v>
      </c>
      <c r="J289">
        <f>HOUR(Table1[[#This Row],[START_DATE]])</f>
        <v>12</v>
      </c>
      <c r="K289" s="2">
        <f t="shared" si="8"/>
        <v>42460</v>
      </c>
      <c r="L289" t="str">
        <f t="shared" si="9"/>
        <v>Thursday</v>
      </c>
    </row>
    <row r="290" spans="1:12" x14ac:dyDescent="0.35">
      <c r="A290" s="1">
        <v>42460.609027777777</v>
      </c>
      <c r="B290" s="1">
        <v>42460.631249999999</v>
      </c>
      <c r="C290" t="s">
        <v>7</v>
      </c>
      <c r="D290" t="s">
        <v>102</v>
      </c>
      <c r="E290" t="s">
        <v>99</v>
      </c>
      <c r="F290">
        <v>16.399999999999999</v>
      </c>
      <c r="G290" t="s">
        <v>9</v>
      </c>
      <c r="J290">
        <f>HOUR(Table1[[#This Row],[START_DATE]])</f>
        <v>14</v>
      </c>
      <c r="K290" s="2">
        <f t="shared" si="8"/>
        <v>42460</v>
      </c>
      <c r="L290" t="str">
        <f t="shared" si="9"/>
        <v>Thursday</v>
      </c>
    </row>
    <row r="291" spans="1:12" x14ac:dyDescent="0.35">
      <c r="A291" s="1">
        <v>42461.571527777778</v>
      </c>
      <c r="B291" s="1">
        <v>42461.584027777775</v>
      </c>
      <c r="C291" t="s">
        <v>7</v>
      </c>
      <c r="D291" t="s">
        <v>99</v>
      </c>
      <c r="E291" t="s">
        <v>99</v>
      </c>
      <c r="F291">
        <v>11</v>
      </c>
      <c r="G291" t="s">
        <v>11</v>
      </c>
      <c r="J291">
        <f>HOUR(Table1[[#This Row],[START_DATE]])</f>
        <v>13</v>
      </c>
      <c r="K291" s="2">
        <f t="shared" si="8"/>
        <v>42461</v>
      </c>
      <c r="L291" t="str">
        <f t="shared" si="9"/>
        <v>Friday</v>
      </c>
    </row>
    <row r="292" spans="1:12" x14ac:dyDescent="0.35">
      <c r="A292" s="1">
        <v>42461.60833333333</v>
      </c>
      <c r="B292" s="1">
        <v>42461.64166666667</v>
      </c>
      <c r="C292" t="s">
        <v>7</v>
      </c>
      <c r="D292" t="s">
        <v>99</v>
      </c>
      <c r="E292" t="s">
        <v>102</v>
      </c>
      <c r="F292">
        <v>15.5</v>
      </c>
      <c r="G292" t="s">
        <v>13</v>
      </c>
      <c r="J292">
        <f>HOUR(Table1[[#This Row],[START_DATE]])</f>
        <v>14</v>
      </c>
      <c r="K292" s="2">
        <f t="shared" si="8"/>
        <v>42461</v>
      </c>
      <c r="L292" t="str">
        <f t="shared" si="9"/>
        <v>Friday</v>
      </c>
    </row>
    <row r="293" spans="1:12" x14ac:dyDescent="0.35">
      <c r="A293" s="1">
        <v>42461.667361111111</v>
      </c>
      <c r="B293" s="1">
        <v>42461.700694444444</v>
      </c>
      <c r="C293" t="s">
        <v>7</v>
      </c>
      <c r="D293" t="s">
        <v>102</v>
      </c>
      <c r="E293" t="s">
        <v>99</v>
      </c>
      <c r="F293">
        <v>20.3</v>
      </c>
      <c r="G293" t="s">
        <v>11</v>
      </c>
      <c r="J293">
        <f>HOUR(Table1[[#This Row],[START_DATE]])</f>
        <v>16</v>
      </c>
      <c r="K293" s="2">
        <f t="shared" si="8"/>
        <v>42461</v>
      </c>
      <c r="L293" t="str">
        <f t="shared" si="9"/>
        <v>Friday</v>
      </c>
    </row>
    <row r="294" spans="1:12" x14ac:dyDescent="0.35">
      <c r="A294" s="1">
        <v>42461.702777777777</v>
      </c>
      <c r="B294" s="1">
        <v>42461.706250000003</v>
      </c>
      <c r="C294" t="s">
        <v>55</v>
      </c>
      <c r="D294" t="s">
        <v>99</v>
      </c>
      <c r="E294" t="s">
        <v>99</v>
      </c>
      <c r="F294">
        <v>0.7</v>
      </c>
      <c r="J294">
        <f>HOUR(Table1[[#This Row],[START_DATE]])</f>
        <v>16</v>
      </c>
      <c r="K294" s="2">
        <f t="shared" si="8"/>
        <v>42461</v>
      </c>
      <c r="L294" t="str">
        <f t="shared" si="9"/>
        <v>Friday</v>
      </c>
    </row>
    <row r="295" spans="1:12" x14ac:dyDescent="0.35">
      <c r="A295" s="1">
        <v>42462.366666666669</v>
      </c>
      <c r="B295" s="1">
        <v>42462.37777777778</v>
      </c>
      <c r="C295" t="s">
        <v>55</v>
      </c>
      <c r="D295" t="s">
        <v>99</v>
      </c>
      <c r="E295" t="s">
        <v>99</v>
      </c>
      <c r="F295">
        <v>5.5</v>
      </c>
      <c r="J295">
        <f>HOUR(Table1[[#This Row],[START_DATE]])</f>
        <v>8</v>
      </c>
      <c r="K295" s="2">
        <f t="shared" si="8"/>
        <v>42462</v>
      </c>
      <c r="L295" t="str">
        <f t="shared" si="9"/>
        <v>Saturday</v>
      </c>
    </row>
    <row r="296" spans="1:12" x14ac:dyDescent="0.35">
      <c r="A296" s="1">
        <v>42462.459027777775</v>
      </c>
      <c r="B296" s="1">
        <v>42462.469444444447</v>
      </c>
      <c r="C296" t="s">
        <v>55</v>
      </c>
      <c r="D296" t="s">
        <v>99</v>
      </c>
      <c r="E296" t="s">
        <v>99</v>
      </c>
      <c r="F296">
        <v>5.0999999999999996</v>
      </c>
      <c r="J296">
        <f>HOUR(Table1[[#This Row],[START_DATE]])</f>
        <v>11</v>
      </c>
      <c r="K296" s="2">
        <f t="shared" si="8"/>
        <v>42462</v>
      </c>
      <c r="L296" t="str">
        <f t="shared" si="9"/>
        <v>Saturday</v>
      </c>
    </row>
    <row r="297" spans="1:12" x14ac:dyDescent="0.35">
      <c r="A297" s="1">
        <v>42462.51458333333</v>
      </c>
      <c r="B297" s="1">
        <v>42462.615972222222</v>
      </c>
      <c r="C297" t="s">
        <v>7</v>
      </c>
      <c r="D297" t="s">
        <v>99</v>
      </c>
      <c r="E297" t="s">
        <v>107</v>
      </c>
      <c r="F297">
        <v>77.3</v>
      </c>
      <c r="G297" t="s">
        <v>13</v>
      </c>
      <c r="J297">
        <f>HOUR(Table1[[#This Row],[START_DATE]])</f>
        <v>12</v>
      </c>
      <c r="K297" s="2">
        <f t="shared" si="8"/>
        <v>42462</v>
      </c>
      <c r="L297" t="str">
        <f t="shared" si="9"/>
        <v>Saturday</v>
      </c>
    </row>
    <row r="298" spans="1:12" x14ac:dyDescent="0.35">
      <c r="A298" s="1">
        <v>42462.706250000003</v>
      </c>
      <c r="B298" s="1">
        <v>42462.756249999999</v>
      </c>
      <c r="C298" t="s">
        <v>7</v>
      </c>
      <c r="D298" t="s">
        <v>107</v>
      </c>
      <c r="E298" t="s">
        <v>98</v>
      </c>
      <c r="F298">
        <v>80.5</v>
      </c>
      <c r="G298" t="s">
        <v>13</v>
      </c>
      <c r="J298">
        <f>HOUR(Table1[[#This Row],[START_DATE]])</f>
        <v>16</v>
      </c>
      <c r="K298" s="2">
        <f t="shared" si="8"/>
        <v>42462</v>
      </c>
      <c r="L298" t="str">
        <f t="shared" si="9"/>
        <v>Saturday</v>
      </c>
    </row>
    <row r="299" spans="1:12" x14ac:dyDescent="0.35">
      <c r="A299" s="1">
        <v>42462.818055555559</v>
      </c>
      <c r="B299" s="1">
        <v>42462.941666666666</v>
      </c>
      <c r="C299" t="s">
        <v>7</v>
      </c>
      <c r="D299" t="s">
        <v>98</v>
      </c>
      <c r="E299" t="s">
        <v>108</v>
      </c>
      <c r="F299">
        <v>174.2</v>
      </c>
      <c r="G299" t="s">
        <v>13</v>
      </c>
      <c r="J299">
        <f>HOUR(Table1[[#This Row],[START_DATE]])</f>
        <v>19</v>
      </c>
      <c r="K299" s="2">
        <f t="shared" si="8"/>
        <v>42462</v>
      </c>
      <c r="L299" t="str">
        <f t="shared" si="9"/>
        <v>Saturday</v>
      </c>
    </row>
    <row r="300" spans="1:12" x14ac:dyDescent="0.35">
      <c r="A300" s="1">
        <v>42462.96597222222</v>
      </c>
      <c r="B300" s="1">
        <v>42463.06527777778</v>
      </c>
      <c r="C300" t="s">
        <v>7</v>
      </c>
      <c r="D300" t="s">
        <v>108</v>
      </c>
      <c r="E300" t="s">
        <v>109</v>
      </c>
      <c r="F300">
        <v>144</v>
      </c>
      <c r="G300" t="s">
        <v>11</v>
      </c>
      <c r="J300">
        <f>HOUR(Table1[[#This Row],[START_DATE]])</f>
        <v>23</v>
      </c>
      <c r="K300" s="2">
        <f t="shared" si="8"/>
        <v>42462</v>
      </c>
      <c r="L300" t="str">
        <f t="shared" si="9"/>
        <v>Saturday</v>
      </c>
    </row>
    <row r="301" spans="1:12" x14ac:dyDescent="0.35">
      <c r="A301" s="1">
        <v>42463.083333333336</v>
      </c>
      <c r="B301" s="1">
        <v>42463.177777777775</v>
      </c>
      <c r="C301" t="s">
        <v>7</v>
      </c>
      <c r="D301" t="s">
        <v>109</v>
      </c>
      <c r="E301" t="s">
        <v>15</v>
      </c>
      <c r="F301">
        <v>159.30000000000001</v>
      </c>
      <c r="G301" t="s">
        <v>11</v>
      </c>
      <c r="J301">
        <f>HOUR(Table1[[#This Row],[START_DATE]])</f>
        <v>2</v>
      </c>
      <c r="K301" s="2">
        <f t="shared" si="8"/>
        <v>42463</v>
      </c>
      <c r="L301" t="str">
        <f t="shared" si="9"/>
        <v>Sunday</v>
      </c>
    </row>
    <row r="302" spans="1:12" x14ac:dyDescent="0.35">
      <c r="A302" s="1">
        <v>42465.902083333334</v>
      </c>
      <c r="B302" s="1">
        <v>42465.913194444445</v>
      </c>
      <c r="C302" t="s">
        <v>7</v>
      </c>
      <c r="D302" t="s">
        <v>38</v>
      </c>
      <c r="E302" t="s">
        <v>73</v>
      </c>
      <c r="F302">
        <v>7.9</v>
      </c>
      <c r="G302" t="s">
        <v>9</v>
      </c>
      <c r="J302">
        <f>HOUR(Table1[[#This Row],[START_DATE]])</f>
        <v>21</v>
      </c>
      <c r="K302" s="2">
        <f t="shared" si="8"/>
        <v>42465</v>
      </c>
      <c r="L302" t="str">
        <f t="shared" si="9"/>
        <v>Tuesday</v>
      </c>
    </row>
    <row r="303" spans="1:12" x14ac:dyDescent="0.35">
      <c r="A303" s="1">
        <v>42466.013194444444</v>
      </c>
      <c r="B303" s="1">
        <v>42466.027083333334</v>
      </c>
      <c r="C303" t="s">
        <v>7</v>
      </c>
      <c r="D303" t="s">
        <v>73</v>
      </c>
      <c r="E303" t="s">
        <v>38</v>
      </c>
      <c r="F303">
        <v>8</v>
      </c>
      <c r="G303" t="s">
        <v>9</v>
      </c>
      <c r="J303">
        <f>HOUR(Table1[[#This Row],[START_DATE]])</f>
        <v>0</v>
      </c>
      <c r="K303" s="2">
        <f t="shared" si="8"/>
        <v>42466</v>
      </c>
      <c r="L303" t="str">
        <f t="shared" si="9"/>
        <v>Wednesday</v>
      </c>
    </row>
    <row r="304" spans="1:12" x14ac:dyDescent="0.35">
      <c r="A304" s="1">
        <v>42467.763888888891</v>
      </c>
      <c r="B304" s="1">
        <v>42467.777083333334</v>
      </c>
      <c r="C304" t="s">
        <v>7</v>
      </c>
      <c r="D304" t="s">
        <v>15</v>
      </c>
      <c r="E304" t="s">
        <v>16</v>
      </c>
      <c r="F304">
        <v>6.1</v>
      </c>
      <c r="G304" t="s">
        <v>9</v>
      </c>
      <c r="J304">
        <f>HOUR(Table1[[#This Row],[START_DATE]])</f>
        <v>18</v>
      </c>
      <c r="K304" s="2">
        <f t="shared" si="8"/>
        <v>42467</v>
      </c>
      <c r="L304" t="str">
        <f t="shared" si="9"/>
        <v>Thursday</v>
      </c>
    </row>
    <row r="305" spans="1:12" x14ac:dyDescent="0.35">
      <c r="A305" s="1">
        <v>42467.822916666664</v>
      </c>
      <c r="B305" s="1">
        <v>42467.833333333336</v>
      </c>
      <c r="C305" t="s">
        <v>7</v>
      </c>
      <c r="D305" t="s">
        <v>16</v>
      </c>
      <c r="E305" t="s">
        <v>15</v>
      </c>
      <c r="F305">
        <v>6.1</v>
      </c>
      <c r="G305" t="s">
        <v>10</v>
      </c>
      <c r="J305">
        <f>HOUR(Table1[[#This Row],[START_DATE]])</f>
        <v>19</v>
      </c>
      <c r="K305" s="2">
        <f t="shared" si="8"/>
        <v>42467</v>
      </c>
      <c r="L305" t="str">
        <f t="shared" si="9"/>
        <v>Thursday</v>
      </c>
    </row>
    <row r="306" spans="1:12" x14ac:dyDescent="0.35">
      <c r="A306" s="1">
        <v>42468.520833333336</v>
      </c>
      <c r="B306" s="1">
        <v>42468.533333333333</v>
      </c>
      <c r="C306" t="s">
        <v>7</v>
      </c>
      <c r="D306" t="s">
        <v>15</v>
      </c>
      <c r="E306" t="s">
        <v>36</v>
      </c>
      <c r="F306">
        <v>10.5</v>
      </c>
      <c r="G306" t="s">
        <v>11</v>
      </c>
      <c r="J306">
        <f>HOUR(Table1[[#This Row],[START_DATE]])</f>
        <v>12</v>
      </c>
      <c r="K306" s="2">
        <f t="shared" si="8"/>
        <v>42468</v>
      </c>
      <c r="L306" t="str">
        <f t="shared" si="9"/>
        <v>Friday</v>
      </c>
    </row>
    <row r="307" spans="1:12" x14ac:dyDescent="0.35">
      <c r="A307" s="1">
        <v>42468.56527777778</v>
      </c>
      <c r="B307" s="1">
        <v>42468.57708333333</v>
      </c>
      <c r="C307" t="s">
        <v>7</v>
      </c>
      <c r="D307" t="s">
        <v>36</v>
      </c>
      <c r="E307" t="s">
        <v>15</v>
      </c>
      <c r="F307">
        <v>8.6999999999999993</v>
      </c>
      <c r="G307" t="s">
        <v>9</v>
      </c>
      <c r="J307">
        <f>HOUR(Table1[[#This Row],[START_DATE]])</f>
        <v>13</v>
      </c>
      <c r="K307" s="2">
        <f t="shared" si="8"/>
        <v>42468</v>
      </c>
      <c r="L307" t="str">
        <f t="shared" si="9"/>
        <v>Friday</v>
      </c>
    </row>
    <row r="308" spans="1:12" x14ac:dyDescent="0.35">
      <c r="A308" s="1">
        <v>42468.579861111109</v>
      </c>
      <c r="B308" s="1">
        <v>42468.585416666669</v>
      </c>
      <c r="C308" t="s">
        <v>7</v>
      </c>
      <c r="D308" t="s">
        <v>44</v>
      </c>
      <c r="E308" t="s">
        <v>38</v>
      </c>
      <c r="F308">
        <v>1.8</v>
      </c>
      <c r="G308" t="s">
        <v>10</v>
      </c>
      <c r="J308">
        <f>HOUR(Table1[[#This Row],[START_DATE]])</f>
        <v>13</v>
      </c>
      <c r="K308" s="2">
        <f t="shared" si="8"/>
        <v>42468</v>
      </c>
      <c r="L308" t="str">
        <f t="shared" si="9"/>
        <v>Friday</v>
      </c>
    </row>
    <row r="309" spans="1:12" x14ac:dyDescent="0.35">
      <c r="A309" s="1">
        <v>42468.613194444442</v>
      </c>
      <c r="B309" s="1">
        <v>42468.638888888891</v>
      </c>
      <c r="C309" t="s">
        <v>7</v>
      </c>
      <c r="D309" t="s">
        <v>15</v>
      </c>
      <c r="E309" t="s">
        <v>40</v>
      </c>
      <c r="F309">
        <v>19.100000000000001</v>
      </c>
      <c r="G309" t="s">
        <v>11</v>
      </c>
      <c r="J309">
        <f>HOUR(Table1[[#This Row],[START_DATE]])</f>
        <v>14</v>
      </c>
      <c r="K309" s="2">
        <f t="shared" si="8"/>
        <v>42468</v>
      </c>
      <c r="L309" t="str">
        <f t="shared" si="9"/>
        <v>Friday</v>
      </c>
    </row>
    <row r="310" spans="1:12" x14ac:dyDescent="0.35">
      <c r="A310" s="1">
        <v>42468.670138888891</v>
      </c>
      <c r="B310" s="1">
        <v>42468.699305555558</v>
      </c>
      <c r="C310" t="s">
        <v>7</v>
      </c>
      <c r="D310" t="s">
        <v>40</v>
      </c>
      <c r="E310" t="s">
        <v>15</v>
      </c>
      <c r="F310">
        <v>18.600000000000001</v>
      </c>
      <c r="G310" t="s">
        <v>11</v>
      </c>
      <c r="J310">
        <f>HOUR(Table1[[#This Row],[START_DATE]])</f>
        <v>16</v>
      </c>
      <c r="K310" s="2">
        <f t="shared" si="8"/>
        <v>42468</v>
      </c>
      <c r="L310" t="str">
        <f t="shared" si="9"/>
        <v>Friday</v>
      </c>
    </row>
    <row r="311" spans="1:12" x14ac:dyDescent="0.35">
      <c r="A311" s="1">
        <v>42472.385416666664</v>
      </c>
      <c r="B311" s="1">
        <v>42472.393055555556</v>
      </c>
      <c r="C311" t="s">
        <v>7</v>
      </c>
      <c r="D311" t="s">
        <v>38</v>
      </c>
      <c r="E311" t="s">
        <v>54</v>
      </c>
      <c r="F311">
        <v>2.8</v>
      </c>
      <c r="G311" t="s">
        <v>10</v>
      </c>
      <c r="J311">
        <f>HOUR(Table1[[#This Row],[START_DATE]])</f>
        <v>9</v>
      </c>
      <c r="K311" s="2">
        <f t="shared" si="8"/>
        <v>42472</v>
      </c>
      <c r="L311" t="str">
        <f t="shared" si="9"/>
        <v>Tuesday</v>
      </c>
    </row>
    <row r="312" spans="1:12" x14ac:dyDescent="0.35">
      <c r="A312" s="1">
        <v>42472.398611111108</v>
      </c>
      <c r="B312" s="1">
        <v>42472.411805555559</v>
      </c>
      <c r="C312" t="s">
        <v>7</v>
      </c>
      <c r="D312" t="s">
        <v>15</v>
      </c>
      <c r="E312" t="s">
        <v>40</v>
      </c>
      <c r="F312">
        <v>8.9</v>
      </c>
      <c r="G312" t="s">
        <v>11</v>
      </c>
      <c r="J312">
        <f>HOUR(Table1[[#This Row],[START_DATE]])</f>
        <v>9</v>
      </c>
      <c r="K312" s="2">
        <f t="shared" si="8"/>
        <v>42472</v>
      </c>
      <c r="L312" t="str">
        <f t="shared" si="9"/>
        <v>Tuesday</v>
      </c>
    </row>
    <row r="313" spans="1:12" x14ac:dyDescent="0.35">
      <c r="A313" s="1">
        <v>42472.456944444442</v>
      </c>
      <c r="B313" s="1">
        <v>42472.470833333333</v>
      </c>
      <c r="C313" t="s">
        <v>7</v>
      </c>
      <c r="D313" t="s">
        <v>110</v>
      </c>
      <c r="E313" t="s">
        <v>111</v>
      </c>
      <c r="F313">
        <v>7.5</v>
      </c>
      <c r="G313" t="s">
        <v>13</v>
      </c>
      <c r="J313">
        <f>HOUR(Table1[[#This Row],[START_DATE]])</f>
        <v>10</v>
      </c>
      <c r="K313" s="2">
        <f t="shared" si="8"/>
        <v>42472</v>
      </c>
      <c r="L313" t="str">
        <f t="shared" si="9"/>
        <v>Tuesday</v>
      </c>
    </row>
    <row r="314" spans="1:12" x14ac:dyDescent="0.35">
      <c r="A314" s="1">
        <v>42472.515277777777</v>
      </c>
      <c r="B314" s="1">
        <v>42472.530555555553</v>
      </c>
      <c r="C314" t="s">
        <v>7</v>
      </c>
      <c r="D314" t="s">
        <v>40</v>
      </c>
      <c r="E314" t="s">
        <v>16</v>
      </c>
      <c r="F314">
        <v>15.9</v>
      </c>
      <c r="G314" t="s">
        <v>11</v>
      </c>
      <c r="J314">
        <f>HOUR(Table1[[#This Row],[START_DATE]])</f>
        <v>12</v>
      </c>
      <c r="K314" s="2">
        <f t="shared" si="8"/>
        <v>42472</v>
      </c>
      <c r="L314" t="str">
        <f t="shared" si="9"/>
        <v>Tuesday</v>
      </c>
    </row>
    <row r="315" spans="1:12" x14ac:dyDescent="0.35">
      <c r="A315" s="1">
        <v>42472.570833333331</v>
      </c>
      <c r="B315" s="1">
        <v>42472.584027777775</v>
      </c>
      <c r="C315" t="s">
        <v>7</v>
      </c>
      <c r="D315" t="s">
        <v>16</v>
      </c>
      <c r="E315" t="s">
        <v>15</v>
      </c>
      <c r="F315">
        <v>6.5</v>
      </c>
      <c r="G315" t="s">
        <v>9</v>
      </c>
      <c r="J315">
        <f>HOUR(Table1[[#This Row],[START_DATE]])</f>
        <v>13</v>
      </c>
      <c r="K315" s="2">
        <f t="shared" si="8"/>
        <v>42472</v>
      </c>
      <c r="L315" t="str">
        <f t="shared" si="9"/>
        <v>Tuesday</v>
      </c>
    </row>
    <row r="316" spans="1:12" x14ac:dyDescent="0.35">
      <c r="A316" s="1">
        <v>42474.311805555553</v>
      </c>
      <c r="B316" s="1">
        <v>42474.339583333334</v>
      </c>
      <c r="C316" t="s">
        <v>7</v>
      </c>
      <c r="D316" t="s">
        <v>15</v>
      </c>
      <c r="E316" t="s">
        <v>112</v>
      </c>
      <c r="F316">
        <v>15.3</v>
      </c>
      <c r="G316" t="s">
        <v>24</v>
      </c>
      <c r="J316">
        <f>HOUR(Table1[[#This Row],[START_DATE]])</f>
        <v>7</v>
      </c>
      <c r="K316" s="2">
        <f t="shared" si="8"/>
        <v>42474</v>
      </c>
      <c r="L316" t="str">
        <f t="shared" si="9"/>
        <v>Thursday</v>
      </c>
    </row>
    <row r="317" spans="1:12" x14ac:dyDescent="0.35">
      <c r="A317" s="1">
        <v>42474.666666666664</v>
      </c>
      <c r="B317" s="1">
        <v>42474.696527777778</v>
      </c>
      <c r="C317" t="s">
        <v>7</v>
      </c>
      <c r="D317" t="s">
        <v>112</v>
      </c>
      <c r="E317" t="s">
        <v>15</v>
      </c>
      <c r="F317">
        <v>13.7</v>
      </c>
      <c r="G317" t="s">
        <v>24</v>
      </c>
      <c r="J317">
        <f>HOUR(Table1[[#This Row],[START_DATE]])</f>
        <v>16</v>
      </c>
      <c r="K317" s="2">
        <f t="shared" si="8"/>
        <v>42474</v>
      </c>
      <c r="L317" t="str">
        <f t="shared" si="9"/>
        <v>Thursday</v>
      </c>
    </row>
    <row r="318" spans="1:12" x14ac:dyDescent="0.35">
      <c r="A318" s="1">
        <v>42475.48333333333</v>
      </c>
      <c r="B318" s="1">
        <v>42475.504861111112</v>
      </c>
      <c r="C318" t="s">
        <v>7</v>
      </c>
      <c r="D318" t="s">
        <v>15</v>
      </c>
      <c r="E318" t="s">
        <v>40</v>
      </c>
      <c r="F318">
        <v>11.9</v>
      </c>
      <c r="G318" t="s">
        <v>24</v>
      </c>
      <c r="J318">
        <f>HOUR(Table1[[#This Row],[START_DATE]])</f>
        <v>11</v>
      </c>
      <c r="K318" s="2">
        <f t="shared" si="8"/>
        <v>42475</v>
      </c>
      <c r="L318" t="str">
        <f t="shared" si="9"/>
        <v>Friday</v>
      </c>
    </row>
    <row r="319" spans="1:12" x14ac:dyDescent="0.35">
      <c r="A319" s="1">
        <v>42475.520138888889</v>
      </c>
      <c r="B319" s="1">
        <v>42475.522222222222</v>
      </c>
      <c r="C319" t="s">
        <v>7</v>
      </c>
      <c r="D319" t="s">
        <v>46</v>
      </c>
      <c r="E319" t="s">
        <v>113</v>
      </c>
      <c r="F319">
        <v>1.4</v>
      </c>
      <c r="G319" t="s">
        <v>10</v>
      </c>
      <c r="J319">
        <f>HOUR(Table1[[#This Row],[START_DATE]])</f>
        <v>12</v>
      </c>
      <c r="K319" s="2">
        <f t="shared" si="8"/>
        <v>42475</v>
      </c>
      <c r="L319" t="str">
        <f t="shared" si="9"/>
        <v>Friday</v>
      </c>
    </row>
    <row r="320" spans="1:12" x14ac:dyDescent="0.35">
      <c r="A320" s="1">
        <v>42475.604861111111</v>
      </c>
      <c r="B320" s="1">
        <v>42475.625694444447</v>
      </c>
      <c r="C320" t="s">
        <v>7</v>
      </c>
      <c r="D320" t="s">
        <v>40</v>
      </c>
      <c r="E320" t="s">
        <v>15</v>
      </c>
      <c r="F320">
        <v>15.2</v>
      </c>
      <c r="G320" t="s">
        <v>11</v>
      </c>
      <c r="J320">
        <f>HOUR(Table1[[#This Row],[START_DATE]])</f>
        <v>14</v>
      </c>
      <c r="K320" s="2">
        <f t="shared" si="8"/>
        <v>42475</v>
      </c>
      <c r="L320" t="str">
        <f t="shared" si="9"/>
        <v>Friday</v>
      </c>
    </row>
    <row r="321" spans="1:12" x14ac:dyDescent="0.35">
      <c r="A321" s="1">
        <v>42476.540972222225</v>
      </c>
      <c r="B321" s="1">
        <v>42476.553472222222</v>
      </c>
      <c r="C321" t="s">
        <v>7</v>
      </c>
      <c r="D321" t="s">
        <v>15</v>
      </c>
      <c r="E321" t="s">
        <v>16</v>
      </c>
      <c r="F321">
        <v>6</v>
      </c>
      <c r="G321" t="s">
        <v>10</v>
      </c>
      <c r="J321">
        <f>HOUR(Table1[[#This Row],[START_DATE]])</f>
        <v>12</v>
      </c>
      <c r="K321" s="2">
        <f t="shared" si="8"/>
        <v>42476</v>
      </c>
      <c r="L321" t="str">
        <f t="shared" si="9"/>
        <v>Saturday</v>
      </c>
    </row>
    <row r="322" spans="1:12" x14ac:dyDescent="0.35">
      <c r="A322" s="1">
        <v>42476.631944444445</v>
      </c>
      <c r="B322" s="1">
        <v>42476.643055555556</v>
      </c>
      <c r="C322" t="s">
        <v>7</v>
      </c>
      <c r="D322" t="s">
        <v>16</v>
      </c>
      <c r="E322" t="s">
        <v>15</v>
      </c>
      <c r="F322">
        <v>6.1</v>
      </c>
      <c r="G322" t="s">
        <v>9</v>
      </c>
      <c r="J322">
        <f>HOUR(Table1[[#This Row],[START_DATE]])</f>
        <v>15</v>
      </c>
      <c r="K322" s="2">
        <f t="shared" si="8"/>
        <v>42476</v>
      </c>
      <c r="L322" t="str">
        <f t="shared" si="9"/>
        <v>Saturday</v>
      </c>
    </row>
    <row r="323" spans="1:12" x14ac:dyDescent="0.35">
      <c r="A323" s="1">
        <v>42479.738888888889</v>
      </c>
      <c r="B323" s="1">
        <v>42479.755555555559</v>
      </c>
      <c r="C323" t="s">
        <v>7</v>
      </c>
      <c r="D323" t="s">
        <v>38</v>
      </c>
      <c r="E323" t="s">
        <v>73</v>
      </c>
      <c r="F323">
        <v>8.1999999999999993</v>
      </c>
      <c r="G323" t="s">
        <v>9</v>
      </c>
      <c r="J323">
        <f>HOUR(Table1[[#This Row],[START_DATE]])</f>
        <v>17</v>
      </c>
      <c r="K323" s="2">
        <f t="shared" ref="K323:K386" si="10">DATE(YEAR(A323), MONTH(A323), DAY(A323))</f>
        <v>42479</v>
      </c>
      <c r="L323" t="str">
        <f t="shared" ref="L323:L386" si="11">TEXT(A323,"dddd")</f>
        <v>Tuesday</v>
      </c>
    </row>
    <row r="324" spans="1:12" x14ac:dyDescent="0.35">
      <c r="A324" s="1">
        <v>42479.831250000003</v>
      </c>
      <c r="B324" s="1">
        <v>42479.84652777778</v>
      </c>
      <c r="C324" t="s">
        <v>7</v>
      </c>
      <c r="D324" t="s">
        <v>73</v>
      </c>
      <c r="E324" t="s">
        <v>38</v>
      </c>
      <c r="F324">
        <v>8</v>
      </c>
      <c r="G324" t="s">
        <v>9</v>
      </c>
      <c r="J324">
        <f>HOUR(Table1[[#This Row],[START_DATE]])</f>
        <v>19</v>
      </c>
      <c r="K324" s="2">
        <f t="shared" si="10"/>
        <v>42479</v>
      </c>
      <c r="L324" t="str">
        <f t="shared" si="11"/>
        <v>Tuesday</v>
      </c>
    </row>
    <row r="325" spans="1:12" x14ac:dyDescent="0.35">
      <c r="A325" s="1">
        <v>42482.350694444445</v>
      </c>
      <c r="B325" s="1">
        <v>42482.37777777778</v>
      </c>
      <c r="C325" t="s">
        <v>7</v>
      </c>
      <c r="D325" t="s">
        <v>15</v>
      </c>
      <c r="E325" t="s">
        <v>40</v>
      </c>
      <c r="F325">
        <v>13.6</v>
      </c>
      <c r="G325" t="s">
        <v>11</v>
      </c>
      <c r="J325">
        <f>HOUR(Table1[[#This Row],[START_DATE]])</f>
        <v>8</v>
      </c>
      <c r="K325" s="2">
        <f t="shared" si="10"/>
        <v>42482</v>
      </c>
      <c r="L325" t="str">
        <f t="shared" si="11"/>
        <v>Friday</v>
      </c>
    </row>
    <row r="326" spans="1:12" x14ac:dyDescent="0.35">
      <c r="A326" s="1">
        <v>42482.423611111109</v>
      </c>
      <c r="B326" s="1">
        <v>42482.444444444445</v>
      </c>
      <c r="C326" t="s">
        <v>7</v>
      </c>
      <c r="D326" t="s">
        <v>40</v>
      </c>
      <c r="E326" t="s">
        <v>15</v>
      </c>
      <c r="F326">
        <v>22.5</v>
      </c>
      <c r="G326" t="s">
        <v>11</v>
      </c>
      <c r="J326">
        <f>HOUR(Table1[[#This Row],[START_DATE]])</f>
        <v>10</v>
      </c>
      <c r="K326" s="2">
        <f t="shared" si="10"/>
        <v>42482</v>
      </c>
      <c r="L326" t="str">
        <f t="shared" si="11"/>
        <v>Friday</v>
      </c>
    </row>
    <row r="327" spans="1:12" x14ac:dyDescent="0.35">
      <c r="A327" s="1">
        <v>42482.505555555559</v>
      </c>
      <c r="B327" s="1">
        <v>42482.519444444442</v>
      </c>
      <c r="C327" t="s">
        <v>7</v>
      </c>
      <c r="D327" t="s">
        <v>15</v>
      </c>
      <c r="E327" t="s">
        <v>36</v>
      </c>
      <c r="F327">
        <v>10.4</v>
      </c>
      <c r="G327" t="s">
        <v>11</v>
      </c>
      <c r="J327">
        <f>HOUR(Table1[[#This Row],[START_DATE]])</f>
        <v>12</v>
      </c>
      <c r="K327" s="2">
        <f t="shared" si="10"/>
        <v>42482</v>
      </c>
      <c r="L327" t="str">
        <f t="shared" si="11"/>
        <v>Friday</v>
      </c>
    </row>
    <row r="328" spans="1:12" x14ac:dyDescent="0.35">
      <c r="A328" s="1">
        <v>42482.543055555558</v>
      </c>
      <c r="B328" s="1">
        <v>42482.55972222222</v>
      </c>
      <c r="C328" t="s">
        <v>7</v>
      </c>
      <c r="D328" t="s">
        <v>36</v>
      </c>
      <c r="E328" t="s">
        <v>15</v>
      </c>
      <c r="F328">
        <v>10</v>
      </c>
      <c r="G328" t="s">
        <v>11</v>
      </c>
      <c r="J328">
        <f>HOUR(Table1[[#This Row],[START_DATE]])</f>
        <v>13</v>
      </c>
      <c r="K328" s="2">
        <f t="shared" si="10"/>
        <v>42482</v>
      </c>
      <c r="L328" t="str">
        <f t="shared" si="11"/>
        <v>Friday</v>
      </c>
    </row>
    <row r="329" spans="1:12" x14ac:dyDescent="0.35">
      <c r="A329" s="1">
        <v>42483.710416666669</v>
      </c>
      <c r="B329" s="1">
        <v>42483.719444444447</v>
      </c>
      <c r="C329" t="s">
        <v>7</v>
      </c>
      <c r="D329" t="s">
        <v>38</v>
      </c>
      <c r="E329" t="s">
        <v>56</v>
      </c>
      <c r="F329">
        <v>6</v>
      </c>
      <c r="G329" t="s">
        <v>9</v>
      </c>
      <c r="J329">
        <f>HOUR(Table1[[#This Row],[START_DATE]])</f>
        <v>17</v>
      </c>
      <c r="K329" s="2">
        <f t="shared" si="10"/>
        <v>42483</v>
      </c>
      <c r="L329" t="str">
        <f t="shared" si="11"/>
        <v>Saturday</v>
      </c>
    </row>
    <row r="330" spans="1:12" x14ac:dyDescent="0.35">
      <c r="A330" s="1">
        <v>42483.78402777778</v>
      </c>
      <c r="B330" s="1">
        <v>42483.795138888891</v>
      </c>
      <c r="C330" t="s">
        <v>7</v>
      </c>
      <c r="D330" t="s">
        <v>56</v>
      </c>
      <c r="E330" t="s">
        <v>38</v>
      </c>
      <c r="F330">
        <v>6.5</v>
      </c>
      <c r="G330" t="s">
        <v>9</v>
      </c>
      <c r="J330">
        <f>HOUR(Table1[[#This Row],[START_DATE]])</f>
        <v>18</v>
      </c>
      <c r="K330" s="2">
        <f t="shared" si="10"/>
        <v>42483</v>
      </c>
      <c r="L330" t="str">
        <f t="shared" si="11"/>
        <v>Saturday</v>
      </c>
    </row>
    <row r="331" spans="1:12" x14ac:dyDescent="0.35">
      <c r="A331" s="1">
        <v>42484.796527777777</v>
      </c>
      <c r="B331" s="1">
        <v>42484.802777777775</v>
      </c>
      <c r="C331" t="s">
        <v>7</v>
      </c>
      <c r="D331" t="s">
        <v>15</v>
      </c>
      <c r="E331" t="s">
        <v>16</v>
      </c>
      <c r="F331">
        <v>3.1</v>
      </c>
      <c r="G331" t="s">
        <v>10</v>
      </c>
      <c r="J331">
        <f>HOUR(Table1[[#This Row],[START_DATE]])</f>
        <v>19</v>
      </c>
      <c r="K331" s="2">
        <f t="shared" si="10"/>
        <v>42484</v>
      </c>
      <c r="L331" t="str">
        <f t="shared" si="11"/>
        <v>Sunday</v>
      </c>
    </row>
    <row r="332" spans="1:12" x14ac:dyDescent="0.35">
      <c r="A332" s="1">
        <v>42484.823611111111</v>
      </c>
      <c r="B332" s="1">
        <v>42484.827777777777</v>
      </c>
      <c r="C332" t="s">
        <v>7</v>
      </c>
      <c r="D332" t="s">
        <v>114</v>
      </c>
      <c r="E332" t="s">
        <v>114</v>
      </c>
      <c r="F332">
        <v>1.9</v>
      </c>
      <c r="G332" t="s">
        <v>10</v>
      </c>
      <c r="J332">
        <f>HOUR(Table1[[#This Row],[START_DATE]])</f>
        <v>19</v>
      </c>
      <c r="K332" s="2">
        <f t="shared" si="10"/>
        <v>42484</v>
      </c>
      <c r="L332" t="str">
        <f t="shared" si="11"/>
        <v>Sunday</v>
      </c>
    </row>
    <row r="333" spans="1:12" x14ac:dyDescent="0.35">
      <c r="A333" s="1">
        <v>42484.90347222222</v>
      </c>
      <c r="B333" s="1">
        <v>42484.909722222219</v>
      </c>
      <c r="C333" t="s">
        <v>7</v>
      </c>
      <c r="D333" t="s">
        <v>16</v>
      </c>
      <c r="E333" t="s">
        <v>15</v>
      </c>
      <c r="F333">
        <v>4.2</v>
      </c>
      <c r="G333" t="s">
        <v>53</v>
      </c>
      <c r="J333">
        <f>HOUR(Table1[[#This Row],[START_DATE]])</f>
        <v>21</v>
      </c>
      <c r="K333" s="2">
        <f t="shared" si="10"/>
        <v>42484</v>
      </c>
      <c r="L333" t="str">
        <f t="shared" si="11"/>
        <v>Sunday</v>
      </c>
    </row>
    <row r="334" spans="1:12" x14ac:dyDescent="0.35">
      <c r="A334" s="1">
        <v>42487.5625</v>
      </c>
      <c r="B334" s="1">
        <v>42487.569444444445</v>
      </c>
      <c r="C334" t="s">
        <v>7</v>
      </c>
      <c r="D334" t="s">
        <v>38</v>
      </c>
      <c r="E334" t="s">
        <v>115</v>
      </c>
      <c r="F334">
        <v>4.9000000000000004</v>
      </c>
      <c r="G334" t="s">
        <v>53</v>
      </c>
      <c r="J334">
        <f>HOUR(Table1[[#This Row],[START_DATE]])</f>
        <v>13</v>
      </c>
      <c r="K334" s="2">
        <f t="shared" si="10"/>
        <v>42487</v>
      </c>
      <c r="L334" t="str">
        <f t="shared" si="11"/>
        <v>Wednesday</v>
      </c>
    </row>
    <row r="335" spans="1:12" x14ac:dyDescent="0.35">
      <c r="A335" s="1">
        <v>42487.592361111114</v>
      </c>
      <c r="B335" s="1">
        <v>42487.600694444445</v>
      </c>
      <c r="C335" t="s">
        <v>7</v>
      </c>
      <c r="D335" t="s">
        <v>115</v>
      </c>
      <c r="E335" t="s">
        <v>38</v>
      </c>
      <c r="F335">
        <v>4.8</v>
      </c>
      <c r="G335" t="s">
        <v>53</v>
      </c>
      <c r="J335">
        <f>HOUR(Table1[[#This Row],[START_DATE]])</f>
        <v>14</v>
      </c>
      <c r="K335" s="2">
        <f t="shared" si="10"/>
        <v>42487</v>
      </c>
      <c r="L335" t="str">
        <f t="shared" si="11"/>
        <v>Wednesday</v>
      </c>
    </row>
    <row r="336" spans="1:12" x14ac:dyDescent="0.35">
      <c r="A336" s="1">
        <v>42488.506249999999</v>
      </c>
      <c r="B336" s="1">
        <v>42488.523611111108</v>
      </c>
      <c r="C336" t="s">
        <v>7</v>
      </c>
      <c r="D336" t="s">
        <v>15</v>
      </c>
      <c r="E336" t="s">
        <v>40</v>
      </c>
      <c r="F336">
        <v>12.4</v>
      </c>
      <c r="G336" t="s">
        <v>13</v>
      </c>
      <c r="J336">
        <f>HOUR(Table1[[#This Row],[START_DATE]])</f>
        <v>12</v>
      </c>
      <c r="K336" s="2">
        <f t="shared" si="10"/>
        <v>42488</v>
      </c>
      <c r="L336" t="str">
        <f t="shared" si="11"/>
        <v>Thursday</v>
      </c>
    </row>
    <row r="337" spans="1:12" x14ac:dyDescent="0.35">
      <c r="A337" s="1">
        <v>42488.5625</v>
      </c>
      <c r="B337" s="1">
        <v>42488.575694444444</v>
      </c>
      <c r="C337" t="s">
        <v>7</v>
      </c>
      <c r="D337" t="s">
        <v>40</v>
      </c>
      <c r="E337" t="s">
        <v>15</v>
      </c>
      <c r="F337">
        <v>32.799999999999997</v>
      </c>
      <c r="G337" t="s">
        <v>13</v>
      </c>
      <c r="J337">
        <f>HOUR(Table1[[#This Row],[START_DATE]])</f>
        <v>13</v>
      </c>
      <c r="K337" s="2">
        <f t="shared" si="10"/>
        <v>42488</v>
      </c>
      <c r="L337" t="str">
        <f t="shared" si="11"/>
        <v>Thursday</v>
      </c>
    </row>
    <row r="338" spans="1:12" x14ac:dyDescent="0.35">
      <c r="A338" s="1">
        <v>42488.923611111109</v>
      </c>
      <c r="B338" s="1">
        <v>42488.936111111114</v>
      </c>
      <c r="C338" t="s">
        <v>7</v>
      </c>
      <c r="D338" t="s">
        <v>16</v>
      </c>
      <c r="E338" t="s">
        <v>15</v>
      </c>
      <c r="F338">
        <v>5.5</v>
      </c>
      <c r="G338" t="s">
        <v>13</v>
      </c>
      <c r="J338">
        <f>HOUR(Table1[[#This Row],[START_DATE]])</f>
        <v>22</v>
      </c>
      <c r="K338" s="2">
        <f t="shared" si="10"/>
        <v>42488</v>
      </c>
      <c r="L338" t="str">
        <f t="shared" si="11"/>
        <v>Thursday</v>
      </c>
    </row>
    <row r="339" spans="1:12" x14ac:dyDescent="0.35">
      <c r="A339" s="1">
        <v>42489.488888888889</v>
      </c>
      <c r="B339" s="1">
        <v>42489.500694444447</v>
      </c>
      <c r="C339" t="s">
        <v>7</v>
      </c>
      <c r="D339" t="s">
        <v>15</v>
      </c>
      <c r="E339" t="s">
        <v>36</v>
      </c>
      <c r="F339">
        <v>9.9</v>
      </c>
      <c r="G339" t="s">
        <v>11</v>
      </c>
      <c r="J339">
        <f>HOUR(Table1[[#This Row],[START_DATE]])</f>
        <v>11</v>
      </c>
      <c r="K339" s="2">
        <f t="shared" si="10"/>
        <v>42489</v>
      </c>
      <c r="L339" t="str">
        <f t="shared" si="11"/>
        <v>Friday</v>
      </c>
    </row>
    <row r="340" spans="1:12" x14ac:dyDescent="0.35">
      <c r="A340" s="1">
        <v>42489.550694444442</v>
      </c>
      <c r="B340" s="1">
        <v>42489.56527777778</v>
      </c>
      <c r="C340" t="s">
        <v>7</v>
      </c>
      <c r="D340" t="s">
        <v>36</v>
      </c>
      <c r="E340" t="s">
        <v>15</v>
      </c>
      <c r="F340">
        <v>10</v>
      </c>
      <c r="G340" t="s">
        <v>11</v>
      </c>
      <c r="J340">
        <f>HOUR(Table1[[#This Row],[START_DATE]])</f>
        <v>13</v>
      </c>
      <c r="K340" s="2">
        <f t="shared" si="10"/>
        <v>42489</v>
      </c>
      <c r="L340" t="str">
        <f t="shared" si="11"/>
        <v>Friday</v>
      </c>
    </row>
    <row r="341" spans="1:12" x14ac:dyDescent="0.35">
      <c r="A341" s="1">
        <v>42489.781944444447</v>
      </c>
      <c r="B341" s="1">
        <v>42489.804166666669</v>
      </c>
      <c r="C341" t="s">
        <v>7</v>
      </c>
      <c r="D341" t="s">
        <v>15</v>
      </c>
      <c r="E341" t="s">
        <v>36</v>
      </c>
      <c r="F341">
        <v>14.2</v>
      </c>
      <c r="G341" t="s">
        <v>13</v>
      </c>
      <c r="J341">
        <f>HOUR(Table1[[#This Row],[START_DATE]])</f>
        <v>18</v>
      </c>
      <c r="K341" s="2">
        <f t="shared" si="10"/>
        <v>42489</v>
      </c>
      <c r="L341" t="str">
        <f t="shared" si="11"/>
        <v>Friday</v>
      </c>
    </row>
    <row r="342" spans="1:12" x14ac:dyDescent="0.35">
      <c r="A342" s="1">
        <v>42489.947222222225</v>
      </c>
      <c r="B342" s="1">
        <v>42489.97152777778</v>
      </c>
      <c r="C342" t="s">
        <v>7</v>
      </c>
      <c r="D342" t="s">
        <v>36</v>
      </c>
      <c r="E342" t="s">
        <v>15</v>
      </c>
      <c r="F342">
        <v>18.2</v>
      </c>
      <c r="G342" t="s">
        <v>11</v>
      </c>
      <c r="J342">
        <f>HOUR(Table1[[#This Row],[START_DATE]])</f>
        <v>22</v>
      </c>
      <c r="K342" s="2">
        <f t="shared" si="10"/>
        <v>42489</v>
      </c>
      <c r="L342" t="str">
        <f t="shared" si="11"/>
        <v>Friday</v>
      </c>
    </row>
    <row r="343" spans="1:12" x14ac:dyDescent="0.35">
      <c r="A343" s="1">
        <v>42490.779166666667</v>
      </c>
      <c r="B343" s="1">
        <v>42490.789583333331</v>
      </c>
      <c r="C343" t="s">
        <v>7</v>
      </c>
      <c r="D343" t="s">
        <v>38</v>
      </c>
      <c r="E343" t="s">
        <v>72</v>
      </c>
      <c r="F343">
        <v>7.7</v>
      </c>
      <c r="G343" t="s">
        <v>9</v>
      </c>
      <c r="J343">
        <f>HOUR(Table1[[#This Row],[START_DATE]])</f>
        <v>18</v>
      </c>
      <c r="K343" s="2">
        <f t="shared" si="10"/>
        <v>42490</v>
      </c>
      <c r="L343" t="str">
        <f t="shared" si="11"/>
        <v>Saturday</v>
      </c>
    </row>
    <row r="344" spans="1:12" x14ac:dyDescent="0.35">
      <c r="A344" s="1">
        <v>42490.927777777775</v>
      </c>
      <c r="B344" s="1">
        <v>42490.94027777778</v>
      </c>
      <c r="C344" t="s">
        <v>7</v>
      </c>
      <c r="D344" t="s">
        <v>72</v>
      </c>
      <c r="E344" t="s">
        <v>38</v>
      </c>
      <c r="F344">
        <v>6.8</v>
      </c>
      <c r="J344">
        <f>HOUR(Table1[[#This Row],[START_DATE]])</f>
        <v>22</v>
      </c>
      <c r="K344" s="2">
        <f t="shared" si="10"/>
        <v>42490</v>
      </c>
      <c r="L344" t="str">
        <f t="shared" si="11"/>
        <v>Saturday</v>
      </c>
    </row>
    <row r="345" spans="1:12" x14ac:dyDescent="0.35">
      <c r="A345" s="1">
        <v>42491.572916666664</v>
      </c>
      <c r="B345" s="1">
        <v>42491.578472222223</v>
      </c>
      <c r="C345" t="s">
        <v>7</v>
      </c>
      <c r="D345" t="s">
        <v>38</v>
      </c>
      <c r="E345" t="s">
        <v>44</v>
      </c>
      <c r="F345">
        <v>2.1</v>
      </c>
      <c r="G345" t="s">
        <v>9</v>
      </c>
      <c r="J345">
        <f>HOUR(Table1[[#This Row],[START_DATE]])</f>
        <v>13</v>
      </c>
      <c r="K345" s="2">
        <f t="shared" si="10"/>
        <v>42491</v>
      </c>
      <c r="L345" t="str">
        <f t="shared" si="11"/>
        <v>Sunday</v>
      </c>
    </row>
    <row r="346" spans="1:12" x14ac:dyDescent="0.35">
      <c r="A346" s="1">
        <v>42491.601388888892</v>
      </c>
      <c r="B346" s="1">
        <v>42491.604861111111</v>
      </c>
      <c r="C346" t="s">
        <v>7</v>
      </c>
      <c r="D346" t="s">
        <v>44</v>
      </c>
      <c r="E346" t="s">
        <v>38</v>
      </c>
      <c r="F346">
        <v>2.2999999999999998</v>
      </c>
      <c r="J346">
        <f>HOUR(Table1[[#This Row],[START_DATE]])</f>
        <v>14</v>
      </c>
      <c r="K346" s="2">
        <f t="shared" si="10"/>
        <v>42491</v>
      </c>
      <c r="L346" t="str">
        <f t="shared" si="11"/>
        <v>Sunday</v>
      </c>
    </row>
    <row r="347" spans="1:12" x14ac:dyDescent="0.35">
      <c r="A347" s="1">
        <v>42491.731249999997</v>
      </c>
      <c r="B347" s="1">
        <v>42491.739583333336</v>
      </c>
      <c r="C347" t="s">
        <v>7</v>
      </c>
      <c r="D347" t="s">
        <v>38</v>
      </c>
      <c r="E347" t="s">
        <v>56</v>
      </c>
      <c r="F347">
        <v>6.2</v>
      </c>
      <c r="G347" t="s">
        <v>53</v>
      </c>
      <c r="J347">
        <f>HOUR(Table1[[#This Row],[START_DATE]])</f>
        <v>17</v>
      </c>
      <c r="K347" s="2">
        <f t="shared" si="10"/>
        <v>42491</v>
      </c>
      <c r="L347" t="str">
        <f t="shared" si="11"/>
        <v>Sunday</v>
      </c>
    </row>
    <row r="348" spans="1:12" x14ac:dyDescent="0.35">
      <c r="A348" s="1">
        <v>42491.745833333334</v>
      </c>
      <c r="B348" s="1">
        <v>42491.756944444445</v>
      </c>
      <c r="C348" t="s">
        <v>7</v>
      </c>
      <c r="D348" t="s">
        <v>56</v>
      </c>
      <c r="E348" t="s">
        <v>116</v>
      </c>
      <c r="F348">
        <v>7.5</v>
      </c>
      <c r="G348" t="s">
        <v>11</v>
      </c>
      <c r="J348">
        <f>HOUR(Table1[[#This Row],[START_DATE]])</f>
        <v>17</v>
      </c>
      <c r="K348" s="2">
        <f t="shared" si="10"/>
        <v>42491</v>
      </c>
      <c r="L348" t="str">
        <f t="shared" si="11"/>
        <v>Sunday</v>
      </c>
    </row>
    <row r="349" spans="1:12" x14ac:dyDescent="0.35">
      <c r="A349" s="1">
        <v>42491.943055555559</v>
      </c>
      <c r="B349" s="1">
        <v>42491.950694444444</v>
      </c>
      <c r="C349" t="s">
        <v>7</v>
      </c>
      <c r="D349" t="s">
        <v>116</v>
      </c>
      <c r="E349" t="s">
        <v>38</v>
      </c>
      <c r="F349">
        <v>3.1</v>
      </c>
      <c r="G349" t="s">
        <v>10</v>
      </c>
      <c r="J349">
        <f>HOUR(Table1[[#This Row],[START_DATE]])</f>
        <v>22</v>
      </c>
      <c r="K349" s="2">
        <f t="shared" si="10"/>
        <v>42491</v>
      </c>
      <c r="L349" t="str">
        <f t="shared" si="11"/>
        <v>Sunday</v>
      </c>
    </row>
    <row r="350" spans="1:12" x14ac:dyDescent="0.35">
      <c r="A350" s="1">
        <v>42492.593055555553</v>
      </c>
      <c r="B350" s="1">
        <v>42492.597916666666</v>
      </c>
      <c r="C350" t="s">
        <v>7</v>
      </c>
      <c r="D350" t="s">
        <v>38</v>
      </c>
      <c r="E350" t="s">
        <v>44</v>
      </c>
      <c r="F350">
        <v>2.2000000000000002</v>
      </c>
      <c r="G350" t="s">
        <v>10</v>
      </c>
      <c r="J350">
        <f>HOUR(Table1[[#This Row],[START_DATE]])</f>
        <v>14</v>
      </c>
      <c r="K350" s="2">
        <f t="shared" si="10"/>
        <v>42492</v>
      </c>
      <c r="L350" t="str">
        <f t="shared" si="11"/>
        <v>Monday</v>
      </c>
    </row>
    <row r="351" spans="1:12" x14ac:dyDescent="0.35">
      <c r="A351" s="1">
        <v>42492.650694444441</v>
      </c>
      <c r="B351" s="1">
        <v>42492.658333333333</v>
      </c>
      <c r="C351" t="s">
        <v>7</v>
      </c>
      <c r="D351" t="s">
        <v>44</v>
      </c>
      <c r="E351" t="s">
        <v>38</v>
      </c>
      <c r="F351">
        <v>3.9</v>
      </c>
      <c r="G351" t="s">
        <v>9</v>
      </c>
      <c r="J351">
        <f>HOUR(Table1[[#This Row],[START_DATE]])</f>
        <v>15</v>
      </c>
      <c r="K351" s="2">
        <f t="shared" si="10"/>
        <v>42492</v>
      </c>
      <c r="L351" t="str">
        <f t="shared" si="11"/>
        <v>Monday</v>
      </c>
    </row>
    <row r="352" spans="1:12" x14ac:dyDescent="0.35">
      <c r="A352" s="1">
        <v>42493.930555555555</v>
      </c>
      <c r="B352" s="1">
        <v>42493.936111111114</v>
      </c>
      <c r="C352" t="s">
        <v>7</v>
      </c>
      <c r="D352" t="s">
        <v>16</v>
      </c>
      <c r="E352" t="s">
        <v>15</v>
      </c>
      <c r="F352">
        <v>2.5</v>
      </c>
      <c r="G352" t="s">
        <v>9</v>
      </c>
      <c r="J352">
        <f>HOUR(Table1[[#This Row],[START_DATE]])</f>
        <v>22</v>
      </c>
      <c r="K352" s="2">
        <f t="shared" si="10"/>
        <v>42493</v>
      </c>
      <c r="L352" t="str">
        <f t="shared" si="11"/>
        <v>Tuesday</v>
      </c>
    </row>
    <row r="353" spans="1:12" x14ac:dyDescent="0.35">
      <c r="A353" s="1">
        <v>42494.636111111111</v>
      </c>
      <c r="B353" s="1">
        <v>42494.650694444441</v>
      </c>
      <c r="C353" t="s">
        <v>7</v>
      </c>
      <c r="D353" t="s">
        <v>15</v>
      </c>
      <c r="E353" t="s">
        <v>16</v>
      </c>
      <c r="F353">
        <v>8.6999999999999993</v>
      </c>
      <c r="G353" t="s">
        <v>9</v>
      </c>
      <c r="J353">
        <f>HOUR(Table1[[#This Row],[START_DATE]])</f>
        <v>15</v>
      </c>
      <c r="K353" s="2">
        <f t="shared" si="10"/>
        <v>42494</v>
      </c>
      <c r="L353" t="str">
        <f t="shared" si="11"/>
        <v>Wednesday</v>
      </c>
    </row>
    <row r="354" spans="1:12" x14ac:dyDescent="0.35">
      <c r="A354" s="1">
        <v>42494.871527777781</v>
      </c>
      <c r="B354" s="1">
        <v>42494.884722222225</v>
      </c>
      <c r="C354" t="s">
        <v>7</v>
      </c>
      <c r="D354" t="s">
        <v>117</v>
      </c>
      <c r="E354" t="s">
        <v>118</v>
      </c>
      <c r="F354">
        <v>14.5</v>
      </c>
      <c r="G354" t="s">
        <v>10</v>
      </c>
      <c r="J354">
        <f>HOUR(Table1[[#This Row],[START_DATE]])</f>
        <v>20</v>
      </c>
      <c r="K354" s="2">
        <f t="shared" si="10"/>
        <v>42494</v>
      </c>
      <c r="L354" t="str">
        <f t="shared" si="11"/>
        <v>Wednesday</v>
      </c>
    </row>
    <row r="355" spans="1:12" x14ac:dyDescent="0.35">
      <c r="A355" s="1">
        <v>42494.895833333336</v>
      </c>
      <c r="B355" s="1">
        <v>42494.9</v>
      </c>
      <c r="C355" t="s">
        <v>7</v>
      </c>
      <c r="D355" t="s">
        <v>118</v>
      </c>
      <c r="E355" t="s">
        <v>119</v>
      </c>
      <c r="F355">
        <v>4.5</v>
      </c>
      <c r="G355" t="s">
        <v>9</v>
      </c>
      <c r="J355">
        <f>HOUR(Table1[[#This Row],[START_DATE]])</f>
        <v>21</v>
      </c>
      <c r="K355" s="2">
        <f t="shared" si="10"/>
        <v>42494</v>
      </c>
      <c r="L355" t="str">
        <f t="shared" si="11"/>
        <v>Wednesday</v>
      </c>
    </row>
    <row r="356" spans="1:12" x14ac:dyDescent="0.35">
      <c r="A356" s="1">
        <v>42494.929861111108</v>
      </c>
      <c r="B356" s="1">
        <v>42494.935416666667</v>
      </c>
      <c r="C356" t="s">
        <v>7</v>
      </c>
      <c r="D356" t="s">
        <v>119</v>
      </c>
      <c r="E356" t="s">
        <v>118</v>
      </c>
      <c r="F356">
        <v>5</v>
      </c>
      <c r="G356" t="s">
        <v>9</v>
      </c>
      <c r="J356">
        <f>HOUR(Table1[[#This Row],[START_DATE]])</f>
        <v>22</v>
      </c>
      <c r="K356" s="2">
        <f t="shared" si="10"/>
        <v>42494</v>
      </c>
      <c r="L356" t="str">
        <f t="shared" si="11"/>
        <v>Wednesday</v>
      </c>
    </row>
    <row r="357" spans="1:12" x14ac:dyDescent="0.35">
      <c r="A357" s="1">
        <v>42495.89166666667</v>
      </c>
      <c r="B357" s="1">
        <v>42495.9</v>
      </c>
      <c r="C357" t="s">
        <v>7</v>
      </c>
      <c r="D357" t="s">
        <v>120</v>
      </c>
      <c r="E357" t="s">
        <v>121</v>
      </c>
      <c r="F357">
        <v>14.2</v>
      </c>
      <c r="G357" t="s">
        <v>9</v>
      </c>
      <c r="J357">
        <f>HOUR(Table1[[#This Row],[START_DATE]])</f>
        <v>21</v>
      </c>
      <c r="K357" s="2">
        <f t="shared" si="10"/>
        <v>42495</v>
      </c>
      <c r="L357" t="str">
        <f t="shared" si="11"/>
        <v>Thursday</v>
      </c>
    </row>
    <row r="358" spans="1:12" x14ac:dyDescent="0.35">
      <c r="A358" s="1">
        <v>42495.94027777778</v>
      </c>
      <c r="B358" s="1">
        <v>42495.944444444445</v>
      </c>
      <c r="C358" t="s">
        <v>7</v>
      </c>
      <c r="D358" t="s">
        <v>121</v>
      </c>
      <c r="E358" t="s">
        <v>122</v>
      </c>
      <c r="F358">
        <v>2.9</v>
      </c>
      <c r="G358" t="s">
        <v>10</v>
      </c>
      <c r="J358">
        <f>HOUR(Table1[[#This Row],[START_DATE]])</f>
        <v>22</v>
      </c>
      <c r="K358" s="2">
        <f t="shared" si="10"/>
        <v>42495</v>
      </c>
      <c r="L358" t="str">
        <f t="shared" si="11"/>
        <v>Thursday</v>
      </c>
    </row>
    <row r="359" spans="1:12" x14ac:dyDescent="0.35">
      <c r="A359" s="1">
        <v>42495.996527777781</v>
      </c>
      <c r="B359" s="1">
        <v>42496.005555555559</v>
      </c>
      <c r="C359" t="s">
        <v>7</v>
      </c>
      <c r="D359" t="s">
        <v>122</v>
      </c>
      <c r="E359" t="s">
        <v>120</v>
      </c>
      <c r="F359">
        <v>12.9</v>
      </c>
      <c r="G359" t="s">
        <v>11</v>
      </c>
      <c r="J359">
        <f>HOUR(Table1[[#This Row],[START_DATE]])</f>
        <v>23</v>
      </c>
      <c r="K359" s="2">
        <f t="shared" si="10"/>
        <v>42495</v>
      </c>
      <c r="L359" t="str">
        <f t="shared" si="11"/>
        <v>Thursday</v>
      </c>
    </row>
    <row r="360" spans="1:12" x14ac:dyDescent="0.35">
      <c r="A360" s="1">
        <v>42496.240972222222</v>
      </c>
      <c r="B360" s="1">
        <v>42496.251388888886</v>
      </c>
      <c r="C360" t="s">
        <v>7</v>
      </c>
      <c r="D360" t="s">
        <v>118</v>
      </c>
      <c r="E360" t="s">
        <v>117</v>
      </c>
      <c r="F360">
        <v>14.4</v>
      </c>
      <c r="G360" t="s">
        <v>11</v>
      </c>
      <c r="J360">
        <f>HOUR(Table1[[#This Row],[START_DATE]])</f>
        <v>5</v>
      </c>
      <c r="K360" s="2">
        <f t="shared" si="10"/>
        <v>42496</v>
      </c>
      <c r="L360" t="str">
        <f t="shared" si="11"/>
        <v>Friday</v>
      </c>
    </row>
    <row r="361" spans="1:12" x14ac:dyDescent="0.35">
      <c r="A361" s="1">
        <v>42496.697916666664</v>
      </c>
      <c r="B361" s="1">
        <v>42496.707638888889</v>
      </c>
      <c r="C361" t="s">
        <v>7</v>
      </c>
      <c r="D361" t="s">
        <v>49</v>
      </c>
      <c r="E361" t="s">
        <v>16</v>
      </c>
      <c r="F361">
        <v>17</v>
      </c>
      <c r="G361" t="s">
        <v>11</v>
      </c>
      <c r="J361">
        <f>HOUR(Table1[[#This Row],[START_DATE]])</f>
        <v>16</v>
      </c>
      <c r="K361" s="2">
        <f t="shared" si="10"/>
        <v>42496</v>
      </c>
      <c r="L361" t="str">
        <f t="shared" si="11"/>
        <v>Friday</v>
      </c>
    </row>
    <row r="362" spans="1:12" x14ac:dyDescent="0.35">
      <c r="A362" s="1">
        <v>42496.720833333333</v>
      </c>
      <c r="B362" s="1">
        <v>42496.738888888889</v>
      </c>
      <c r="C362" t="s">
        <v>7</v>
      </c>
      <c r="D362" t="s">
        <v>16</v>
      </c>
      <c r="E362" t="s">
        <v>15</v>
      </c>
      <c r="F362">
        <v>7.9</v>
      </c>
      <c r="G362" t="s">
        <v>13</v>
      </c>
      <c r="J362">
        <f>HOUR(Table1[[#This Row],[START_DATE]])</f>
        <v>17</v>
      </c>
      <c r="K362" s="2">
        <f t="shared" si="10"/>
        <v>42496</v>
      </c>
      <c r="L362" t="str">
        <f t="shared" si="11"/>
        <v>Friday</v>
      </c>
    </row>
    <row r="363" spans="1:12" x14ac:dyDescent="0.35">
      <c r="A363" s="1">
        <v>42499.255555555559</v>
      </c>
      <c r="B363" s="1">
        <v>42499.267361111109</v>
      </c>
      <c r="C363" t="s">
        <v>7</v>
      </c>
      <c r="D363" t="s">
        <v>15</v>
      </c>
      <c r="E363" t="s">
        <v>16</v>
      </c>
      <c r="F363">
        <v>8.4</v>
      </c>
      <c r="G363" t="s">
        <v>13</v>
      </c>
      <c r="J363">
        <f>HOUR(Table1[[#This Row],[START_DATE]])</f>
        <v>6</v>
      </c>
      <c r="K363" s="2">
        <f t="shared" si="10"/>
        <v>42499</v>
      </c>
      <c r="L363" t="str">
        <f t="shared" si="11"/>
        <v>Monday</v>
      </c>
    </row>
    <row r="364" spans="1:12" x14ac:dyDescent="0.35">
      <c r="A364" s="1">
        <v>42499.61041666667</v>
      </c>
      <c r="B364" s="1">
        <v>42499.629166666666</v>
      </c>
      <c r="C364" t="s">
        <v>7</v>
      </c>
      <c r="D364" t="s">
        <v>123</v>
      </c>
      <c r="E364" t="s">
        <v>124</v>
      </c>
      <c r="F364">
        <v>20.5</v>
      </c>
      <c r="G364" t="s">
        <v>53</v>
      </c>
      <c r="J364">
        <f>HOUR(Table1[[#This Row],[START_DATE]])</f>
        <v>14</v>
      </c>
      <c r="K364" s="2">
        <f t="shared" si="10"/>
        <v>42499</v>
      </c>
      <c r="L364" t="str">
        <f t="shared" si="11"/>
        <v>Monday</v>
      </c>
    </row>
    <row r="365" spans="1:12" x14ac:dyDescent="0.35">
      <c r="A365" s="1">
        <v>42499.748611111114</v>
      </c>
      <c r="B365" s="1">
        <v>42499.768055555556</v>
      </c>
      <c r="C365" t="s">
        <v>7</v>
      </c>
      <c r="D365" t="s">
        <v>124</v>
      </c>
      <c r="E365" t="s">
        <v>125</v>
      </c>
      <c r="F365">
        <v>9.8000000000000007</v>
      </c>
      <c r="G365" t="s">
        <v>13</v>
      </c>
      <c r="J365">
        <f>HOUR(Table1[[#This Row],[START_DATE]])</f>
        <v>17</v>
      </c>
      <c r="K365" s="2">
        <f t="shared" si="10"/>
        <v>42499</v>
      </c>
      <c r="L365" t="str">
        <f t="shared" si="11"/>
        <v>Monday</v>
      </c>
    </row>
    <row r="366" spans="1:12" x14ac:dyDescent="0.35">
      <c r="A366" s="1">
        <v>42499.815972222219</v>
      </c>
      <c r="B366" s="1">
        <v>42499.832638888889</v>
      </c>
      <c r="C366" t="s">
        <v>7</v>
      </c>
      <c r="D366" t="s">
        <v>125</v>
      </c>
      <c r="E366" t="s">
        <v>126</v>
      </c>
      <c r="F366">
        <v>17.600000000000001</v>
      </c>
      <c r="G366" t="s">
        <v>13</v>
      </c>
      <c r="J366">
        <f>HOUR(Table1[[#This Row],[START_DATE]])</f>
        <v>19</v>
      </c>
      <c r="K366" s="2">
        <f t="shared" si="10"/>
        <v>42499</v>
      </c>
      <c r="L366" t="str">
        <f t="shared" si="11"/>
        <v>Monday</v>
      </c>
    </row>
    <row r="367" spans="1:12" x14ac:dyDescent="0.35">
      <c r="A367" s="1">
        <v>42500.377083333333</v>
      </c>
      <c r="B367" s="1">
        <v>42500.388888888891</v>
      </c>
      <c r="C367" t="s">
        <v>7</v>
      </c>
      <c r="D367" t="s">
        <v>126</v>
      </c>
      <c r="E367" t="s">
        <v>127</v>
      </c>
      <c r="F367">
        <v>9.3000000000000007</v>
      </c>
      <c r="G367" t="s">
        <v>13</v>
      </c>
      <c r="J367">
        <f>HOUR(Table1[[#This Row],[START_DATE]])</f>
        <v>9</v>
      </c>
      <c r="K367" s="2">
        <f t="shared" si="10"/>
        <v>42500</v>
      </c>
      <c r="L367" t="str">
        <f t="shared" si="11"/>
        <v>Tuesday</v>
      </c>
    </row>
    <row r="368" spans="1:12" x14ac:dyDescent="0.35">
      <c r="A368" s="1">
        <v>42500.72152777778</v>
      </c>
      <c r="B368" s="1">
        <v>42500.729861111111</v>
      </c>
      <c r="C368" t="s">
        <v>7</v>
      </c>
      <c r="D368" t="s">
        <v>127</v>
      </c>
      <c r="E368" t="s">
        <v>126</v>
      </c>
      <c r="F368">
        <v>7.9</v>
      </c>
      <c r="G368" t="s">
        <v>13</v>
      </c>
      <c r="J368">
        <f>HOUR(Table1[[#This Row],[START_DATE]])</f>
        <v>17</v>
      </c>
      <c r="K368" s="2">
        <f t="shared" si="10"/>
        <v>42500</v>
      </c>
      <c r="L368" t="str">
        <f t="shared" si="11"/>
        <v>Tuesday</v>
      </c>
    </row>
    <row r="369" spans="1:12" x14ac:dyDescent="0.35">
      <c r="A369" s="1">
        <v>42501.357638888891</v>
      </c>
      <c r="B369" s="1">
        <v>42501.383333333331</v>
      </c>
      <c r="C369" t="s">
        <v>7</v>
      </c>
      <c r="D369" t="s">
        <v>126</v>
      </c>
      <c r="E369" t="s">
        <v>123</v>
      </c>
      <c r="F369">
        <v>25.6</v>
      </c>
      <c r="G369" t="s">
        <v>11</v>
      </c>
      <c r="J369">
        <f>HOUR(Table1[[#This Row],[START_DATE]])</f>
        <v>8</v>
      </c>
      <c r="K369" s="2">
        <f t="shared" si="10"/>
        <v>42501</v>
      </c>
      <c r="L369" t="str">
        <f t="shared" si="11"/>
        <v>Wednesday</v>
      </c>
    </row>
    <row r="370" spans="1:12" x14ac:dyDescent="0.35">
      <c r="A370" s="1">
        <v>42501.907638888886</v>
      </c>
      <c r="B370" s="1">
        <v>42501.919444444444</v>
      </c>
      <c r="C370" t="s">
        <v>7</v>
      </c>
      <c r="D370" t="s">
        <v>16</v>
      </c>
      <c r="E370" t="s">
        <v>15</v>
      </c>
      <c r="F370">
        <v>8.1</v>
      </c>
      <c r="G370" t="s">
        <v>11</v>
      </c>
      <c r="J370">
        <f>HOUR(Table1[[#This Row],[START_DATE]])</f>
        <v>21</v>
      </c>
      <c r="K370" s="2">
        <f t="shared" si="10"/>
        <v>42501</v>
      </c>
      <c r="L370" t="str">
        <f t="shared" si="11"/>
        <v>Wednesday</v>
      </c>
    </row>
    <row r="371" spans="1:12" x14ac:dyDescent="0.35">
      <c r="A371" s="1">
        <v>42504.774305555555</v>
      </c>
      <c r="B371" s="1">
        <v>42504.777083333334</v>
      </c>
      <c r="C371" t="s">
        <v>7</v>
      </c>
      <c r="D371" t="s">
        <v>15</v>
      </c>
      <c r="E371" t="s">
        <v>16</v>
      </c>
      <c r="F371">
        <v>3.1</v>
      </c>
      <c r="G371" t="s">
        <v>9</v>
      </c>
      <c r="J371">
        <f>HOUR(Table1[[#This Row],[START_DATE]])</f>
        <v>18</v>
      </c>
      <c r="K371" s="2">
        <f t="shared" si="10"/>
        <v>42504</v>
      </c>
      <c r="L371" t="str">
        <f t="shared" si="11"/>
        <v>Saturday</v>
      </c>
    </row>
    <row r="372" spans="1:12" x14ac:dyDescent="0.35">
      <c r="A372" s="1">
        <v>42504.959027777775</v>
      </c>
      <c r="B372" s="1">
        <v>42504.961805555555</v>
      </c>
      <c r="C372" t="s">
        <v>7</v>
      </c>
      <c r="D372" t="s">
        <v>16</v>
      </c>
      <c r="E372" t="s">
        <v>15</v>
      </c>
      <c r="F372">
        <v>3.1</v>
      </c>
      <c r="G372" t="s">
        <v>9</v>
      </c>
      <c r="J372">
        <f>HOUR(Table1[[#This Row],[START_DATE]])</f>
        <v>23</v>
      </c>
      <c r="K372" s="2">
        <f t="shared" si="10"/>
        <v>42504</v>
      </c>
      <c r="L372" t="str">
        <f t="shared" si="11"/>
        <v>Saturday</v>
      </c>
    </row>
    <row r="373" spans="1:12" x14ac:dyDescent="0.35">
      <c r="A373" s="1">
        <v>42507.552083333336</v>
      </c>
      <c r="B373" s="1">
        <v>42507.557638888888</v>
      </c>
      <c r="C373" t="s">
        <v>7</v>
      </c>
      <c r="D373" t="s">
        <v>38</v>
      </c>
      <c r="E373" t="s">
        <v>57</v>
      </c>
      <c r="F373">
        <v>2.8</v>
      </c>
      <c r="G373" t="s">
        <v>10</v>
      </c>
      <c r="J373">
        <f>HOUR(Table1[[#This Row],[START_DATE]])</f>
        <v>13</v>
      </c>
      <c r="K373" s="2">
        <f t="shared" si="10"/>
        <v>42507</v>
      </c>
      <c r="L373" t="str">
        <f t="shared" si="11"/>
        <v>Tuesday</v>
      </c>
    </row>
    <row r="374" spans="1:12" x14ac:dyDescent="0.35">
      <c r="A374" s="1">
        <v>42507.580555555556</v>
      </c>
      <c r="B374" s="1">
        <v>42507.588888888888</v>
      </c>
      <c r="C374" t="s">
        <v>7</v>
      </c>
      <c r="D374" t="s">
        <v>57</v>
      </c>
      <c r="E374" t="s">
        <v>44</v>
      </c>
      <c r="F374">
        <v>2.7</v>
      </c>
      <c r="G374" t="s">
        <v>10</v>
      </c>
      <c r="J374">
        <f>HOUR(Table1[[#This Row],[START_DATE]])</f>
        <v>13</v>
      </c>
      <c r="K374" s="2">
        <f t="shared" si="10"/>
        <v>42507</v>
      </c>
      <c r="L374" t="str">
        <f t="shared" si="11"/>
        <v>Tuesday</v>
      </c>
    </row>
    <row r="375" spans="1:12" x14ac:dyDescent="0.35">
      <c r="A375" s="1">
        <v>42507.606944444444</v>
      </c>
      <c r="B375" s="1">
        <v>42507.611111111109</v>
      </c>
      <c r="C375" t="s">
        <v>7</v>
      </c>
      <c r="D375" t="s">
        <v>44</v>
      </c>
      <c r="E375" t="s">
        <v>38</v>
      </c>
      <c r="F375">
        <v>1.9</v>
      </c>
      <c r="G375" t="s">
        <v>10</v>
      </c>
      <c r="J375">
        <f>HOUR(Table1[[#This Row],[START_DATE]])</f>
        <v>14</v>
      </c>
      <c r="K375" s="2">
        <f t="shared" si="10"/>
        <v>42507</v>
      </c>
      <c r="L375" t="str">
        <f t="shared" si="11"/>
        <v>Tuesday</v>
      </c>
    </row>
    <row r="376" spans="1:12" x14ac:dyDescent="0.35">
      <c r="A376" s="1">
        <v>42508.382638888892</v>
      </c>
      <c r="B376" s="1">
        <v>42508.40347222222</v>
      </c>
      <c r="C376" t="s">
        <v>7</v>
      </c>
      <c r="D376" t="s">
        <v>15</v>
      </c>
      <c r="E376" t="s">
        <v>16</v>
      </c>
      <c r="F376">
        <v>8.4</v>
      </c>
      <c r="G376" t="s">
        <v>13</v>
      </c>
      <c r="J376">
        <f>HOUR(Table1[[#This Row],[START_DATE]])</f>
        <v>9</v>
      </c>
      <c r="K376" s="2">
        <f t="shared" si="10"/>
        <v>42508</v>
      </c>
      <c r="L376" t="str">
        <f t="shared" si="11"/>
        <v>Wednesday</v>
      </c>
    </row>
    <row r="377" spans="1:12" x14ac:dyDescent="0.35">
      <c r="A377" s="1">
        <v>42508.541666666664</v>
      </c>
      <c r="B377" s="1">
        <v>42508.543055555558</v>
      </c>
      <c r="C377" t="s">
        <v>7</v>
      </c>
      <c r="D377" t="s">
        <v>16</v>
      </c>
      <c r="E377" t="s">
        <v>40</v>
      </c>
      <c r="F377">
        <v>7.6</v>
      </c>
      <c r="G377" t="s">
        <v>13</v>
      </c>
      <c r="J377">
        <f>HOUR(Table1[[#This Row],[START_DATE]])</f>
        <v>13</v>
      </c>
      <c r="K377" s="2">
        <f t="shared" si="10"/>
        <v>42508</v>
      </c>
      <c r="L377" t="str">
        <f t="shared" si="11"/>
        <v>Wednesday</v>
      </c>
    </row>
    <row r="378" spans="1:12" x14ac:dyDescent="0.35">
      <c r="A378" s="1">
        <v>42509.609027777777</v>
      </c>
      <c r="B378" s="1">
        <v>42509.625694444447</v>
      </c>
      <c r="C378" t="s">
        <v>7</v>
      </c>
      <c r="D378" t="s">
        <v>128</v>
      </c>
      <c r="E378" t="s">
        <v>129</v>
      </c>
      <c r="F378">
        <v>2.9</v>
      </c>
      <c r="G378" t="s">
        <v>9</v>
      </c>
      <c r="J378">
        <f>HOUR(Table1[[#This Row],[START_DATE]])</f>
        <v>14</v>
      </c>
      <c r="K378" s="2">
        <f t="shared" si="10"/>
        <v>42509</v>
      </c>
      <c r="L378" t="str">
        <f t="shared" si="11"/>
        <v>Thursday</v>
      </c>
    </row>
    <row r="379" spans="1:12" x14ac:dyDescent="0.35">
      <c r="A379" s="1">
        <v>42510.455555555556</v>
      </c>
      <c r="B379" s="1">
        <v>42510.463194444441</v>
      </c>
      <c r="C379" t="s">
        <v>7</v>
      </c>
      <c r="D379" t="s">
        <v>128</v>
      </c>
      <c r="E379" t="s">
        <v>130</v>
      </c>
      <c r="F379">
        <v>11.2</v>
      </c>
      <c r="G379" t="s">
        <v>11</v>
      </c>
      <c r="J379">
        <f>HOUR(Table1[[#This Row],[START_DATE]])</f>
        <v>10</v>
      </c>
      <c r="K379" s="2">
        <f t="shared" si="10"/>
        <v>42510</v>
      </c>
      <c r="L379" t="str">
        <f t="shared" si="11"/>
        <v>Friday</v>
      </c>
    </row>
    <row r="380" spans="1:12" x14ac:dyDescent="0.35">
      <c r="A380" s="1">
        <v>42510.654861111114</v>
      </c>
      <c r="B380" s="1">
        <v>42510.675000000003</v>
      </c>
      <c r="C380" t="s">
        <v>7</v>
      </c>
      <c r="D380" t="s">
        <v>16</v>
      </c>
      <c r="E380" t="s">
        <v>15</v>
      </c>
      <c r="F380">
        <v>8.1999999999999993</v>
      </c>
      <c r="G380" t="s">
        <v>9</v>
      </c>
      <c r="J380">
        <f>HOUR(Table1[[#This Row],[START_DATE]])</f>
        <v>15</v>
      </c>
      <c r="K380" s="2">
        <f t="shared" si="10"/>
        <v>42510</v>
      </c>
      <c r="L380" t="str">
        <f t="shared" si="11"/>
        <v>Friday</v>
      </c>
    </row>
    <row r="381" spans="1:12" x14ac:dyDescent="0.35">
      <c r="A381" s="1">
        <v>42512.652083333334</v>
      </c>
      <c r="B381" s="1">
        <v>42512.656944444447</v>
      </c>
      <c r="C381" t="s">
        <v>7</v>
      </c>
      <c r="D381" t="s">
        <v>15</v>
      </c>
      <c r="E381" t="s">
        <v>16</v>
      </c>
      <c r="F381">
        <v>3</v>
      </c>
      <c r="G381" t="s">
        <v>9</v>
      </c>
      <c r="J381">
        <f>HOUR(Table1[[#This Row],[START_DATE]])</f>
        <v>15</v>
      </c>
      <c r="K381" s="2">
        <f t="shared" si="10"/>
        <v>42512</v>
      </c>
      <c r="L381" t="str">
        <f t="shared" si="11"/>
        <v>Sunday</v>
      </c>
    </row>
    <row r="382" spans="1:12" x14ac:dyDescent="0.35">
      <c r="A382" s="1">
        <v>42512.781944444447</v>
      </c>
      <c r="B382" s="1">
        <v>42512.786805555559</v>
      </c>
      <c r="C382" t="s">
        <v>7</v>
      </c>
      <c r="D382" t="s">
        <v>16</v>
      </c>
      <c r="E382" t="s">
        <v>15</v>
      </c>
      <c r="F382">
        <v>2.5</v>
      </c>
      <c r="G382" t="s">
        <v>9</v>
      </c>
      <c r="J382">
        <f>HOUR(Table1[[#This Row],[START_DATE]])</f>
        <v>18</v>
      </c>
      <c r="K382" s="2">
        <f t="shared" si="10"/>
        <v>42512</v>
      </c>
      <c r="L382" t="str">
        <f t="shared" si="11"/>
        <v>Sunday</v>
      </c>
    </row>
    <row r="383" spans="1:12" x14ac:dyDescent="0.35">
      <c r="A383" s="1">
        <v>42513.84652777778</v>
      </c>
      <c r="B383" s="1">
        <v>42513.852083333331</v>
      </c>
      <c r="C383" t="s">
        <v>7</v>
      </c>
      <c r="D383" t="s">
        <v>38</v>
      </c>
      <c r="E383" t="s">
        <v>131</v>
      </c>
      <c r="F383">
        <v>3.6</v>
      </c>
      <c r="G383" t="s">
        <v>9</v>
      </c>
      <c r="J383">
        <f>HOUR(Table1[[#This Row],[START_DATE]])</f>
        <v>20</v>
      </c>
      <c r="K383" s="2">
        <f t="shared" si="10"/>
        <v>42513</v>
      </c>
      <c r="L383" t="str">
        <f t="shared" si="11"/>
        <v>Monday</v>
      </c>
    </row>
    <row r="384" spans="1:12" x14ac:dyDescent="0.35">
      <c r="A384" s="1">
        <v>42513.881249999999</v>
      </c>
      <c r="B384" s="1">
        <v>42513.88958333333</v>
      </c>
      <c r="C384" t="s">
        <v>7</v>
      </c>
      <c r="D384" t="s">
        <v>131</v>
      </c>
      <c r="E384" t="s">
        <v>38</v>
      </c>
      <c r="F384">
        <v>3.6</v>
      </c>
      <c r="G384" t="s">
        <v>10</v>
      </c>
      <c r="J384">
        <f>HOUR(Table1[[#This Row],[START_DATE]])</f>
        <v>21</v>
      </c>
      <c r="K384" s="2">
        <f t="shared" si="10"/>
        <v>42513</v>
      </c>
      <c r="L384" t="str">
        <f t="shared" si="11"/>
        <v>Monday</v>
      </c>
    </row>
    <row r="385" spans="1:12" x14ac:dyDescent="0.35">
      <c r="A385" s="1">
        <v>42517.851388888892</v>
      </c>
      <c r="B385" s="1">
        <v>42517.854166666664</v>
      </c>
      <c r="C385" t="s">
        <v>7</v>
      </c>
      <c r="D385" t="s">
        <v>38</v>
      </c>
      <c r="E385" t="s">
        <v>132</v>
      </c>
      <c r="F385">
        <v>4.5</v>
      </c>
      <c r="G385" t="s">
        <v>10</v>
      </c>
      <c r="J385">
        <f>HOUR(Table1[[#This Row],[START_DATE]])</f>
        <v>20</v>
      </c>
      <c r="K385" s="2">
        <f t="shared" si="10"/>
        <v>42517</v>
      </c>
      <c r="L385" t="str">
        <f t="shared" si="11"/>
        <v>Friday</v>
      </c>
    </row>
    <row r="386" spans="1:12" x14ac:dyDescent="0.35">
      <c r="A386" s="1">
        <v>42517.865972222222</v>
      </c>
      <c r="B386" s="1">
        <v>42517.870138888888</v>
      </c>
      <c r="C386" t="s">
        <v>7</v>
      </c>
      <c r="D386" t="s">
        <v>131</v>
      </c>
      <c r="E386" t="s">
        <v>133</v>
      </c>
      <c r="F386">
        <v>1.2</v>
      </c>
      <c r="J386">
        <f>HOUR(Table1[[#This Row],[START_DATE]])</f>
        <v>20</v>
      </c>
      <c r="K386" s="2">
        <f t="shared" si="10"/>
        <v>42517</v>
      </c>
      <c r="L386" t="str">
        <f t="shared" si="11"/>
        <v>Friday</v>
      </c>
    </row>
    <row r="387" spans="1:12" x14ac:dyDescent="0.35">
      <c r="A387" s="1">
        <v>42517.924305555556</v>
      </c>
      <c r="B387" s="1">
        <v>42517.926388888889</v>
      </c>
      <c r="C387" t="s">
        <v>7</v>
      </c>
      <c r="D387" t="s">
        <v>133</v>
      </c>
      <c r="E387" t="s">
        <v>132</v>
      </c>
      <c r="F387">
        <v>1.7</v>
      </c>
      <c r="G387" t="s">
        <v>10</v>
      </c>
      <c r="J387">
        <f>HOUR(Table1[[#This Row],[START_DATE]])</f>
        <v>22</v>
      </c>
      <c r="K387" s="2">
        <f t="shared" ref="K387:K450" si="12">DATE(YEAR(A387), MONTH(A387), DAY(A387))</f>
        <v>42517</v>
      </c>
      <c r="L387" t="str">
        <f t="shared" ref="L387:L450" si="13">TEXT(A387,"dddd")</f>
        <v>Friday</v>
      </c>
    </row>
    <row r="388" spans="1:12" x14ac:dyDescent="0.35">
      <c r="A388" s="1">
        <v>42518.010416666664</v>
      </c>
      <c r="B388" s="1">
        <v>42518.01458333333</v>
      </c>
      <c r="C388" t="s">
        <v>7</v>
      </c>
      <c r="D388" t="s">
        <v>133</v>
      </c>
      <c r="E388" t="s">
        <v>38</v>
      </c>
      <c r="F388">
        <v>4.7</v>
      </c>
      <c r="G388" t="s">
        <v>10</v>
      </c>
      <c r="J388">
        <f>HOUR(Table1[[#This Row],[START_DATE]])</f>
        <v>0</v>
      </c>
      <c r="K388" s="2">
        <f t="shared" si="12"/>
        <v>42518</v>
      </c>
      <c r="L388" t="str">
        <f t="shared" si="13"/>
        <v>Saturday</v>
      </c>
    </row>
    <row r="389" spans="1:12" x14ac:dyDescent="0.35">
      <c r="A389" s="1">
        <v>42518.536111111112</v>
      </c>
      <c r="B389" s="1">
        <v>42518.54583333333</v>
      </c>
      <c r="C389" t="s">
        <v>7</v>
      </c>
      <c r="D389" t="s">
        <v>15</v>
      </c>
      <c r="E389" t="s">
        <v>16</v>
      </c>
      <c r="F389">
        <v>6.1</v>
      </c>
      <c r="G389" t="s">
        <v>9</v>
      </c>
      <c r="J389">
        <f>HOUR(Table1[[#This Row],[START_DATE]])</f>
        <v>12</v>
      </c>
      <c r="K389" s="2">
        <f t="shared" si="12"/>
        <v>42518</v>
      </c>
      <c r="L389" t="str">
        <f t="shared" si="13"/>
        <v>Saturday</v>
      </c>
    </row>
    <row r="390" spans="1:12" x14ac:dyDescent="0.35">
      <c r="A390" s="1">
        <v>42518.607638888891</v>
      </c>
      <c r="B390" s="1">
        <v>42518.62777777778</v>
      </c>
      <c r="C390" t="s">
        <v>7</v>
      </c>
      <c r="D390" t="s">
        <v>16</v>
      </c>
      <c r="E390" t="s">
        <v>15</v>
      </c>
      <c r="F390">
        <v>11.3</v>
      </c>
      <c r="G390" t="s">
        <v>13</v>
      </c>
      <c r="J390">
        <f>HOUR(Table1[[#This Row],[START_DATE]])</f>
        <v>14</v>
      </c>
      <c r="K390" s="2">
        <f t="shared" si="12"/>
        <v>42518</v>
      </c>
      <c r="L390" t="str">
        <f t="shared" si="13"/>
        <v>Saturday</v>
      </c>
    </row>
    <row r="391" spans="1:12" x14ac:dyDescent="0.35">
      <c r="A391" s="1">
        <v>42521.57916666667</v>
      </c>
      <c r="B391" s="1">
        <v>42521.611805555556</v>
      </c>
      <c r="C391" t="s">
        <v>7</v>
      </c>
      <c r="D391" t="s">
        <v>15</v>
      </c>
      <c r="E391" t="s">
        <v>40</v>
      </c>
      <c r="F391">
        <v>14.9</v>
      </c>
      <c r="G391" t="s">
        <v>11</v>
      </c>
      <c r="J391">
        <f>HOUR(Table1[[#This Row],[START_DATE]])</f>
        <v>13</v>
      </c>
      <c r="K391" s="2">
        <f t="shared" si="12"/>
        <v>42521</v>
      </c>
      <c r="L391" t="str">
        <f t="shared" si="13"/>
        <v>Tuesday</v>
      </c>
    </row>
    <row r="392" spans="1:12" x14ac:dyDescent="0.35">
      <c r="A392" s="1">
        <v>42521.668055555558</v>
      </c>
      <c r="B392" s="1">
        <v>42521.693749999999</v>
      </c>
      <c r="C392" t="s">
        <v>7</v>
      </c>
      <c r="D392" t="s">
        <v>40</v>
      </c>
      <c r="E392" t="s">
        <v>15</v>
      </c>
      <c r="F392">
        <v>14</v>
      </c>
      <c r="G392" t="s">
        <v>11</v>
      </c>
      <c r="J392">
        <f>HOUR(Table1[[#This Row],[START_DATE]])</f>
        <v>16</v>
      </c>
      <c r="K392" s="2">
        <f t="shared" si="12"/>
        <v>42521</v>
      </c>
      <c r="L392" t="str">
        <f t="shared" si="13"/>
        <v>Tuesday</v>
      </c>
    </row>
    <row r="393" spans="1:12" x14ac:dyDescent="0.35">
      <c r="A393" s="1">
        <v>42521.743055555555</v>
      </c>
      <c r="B393" s="1">
        <v>42521.749305555553</v>
      </c>
      <c r="C393" t="s">
        <v>7</v>
      </c>
      <c r="D393" t="s">
        <v>44</v>
      </c>
      <c r="E393" t="s">
        <v>38</v>
      </c>
      <c r="F393">
        <v>1.8</v>
      </c>
      <c r="J393">
        <f>HOUR(Table1[[#This Row],[START_DATE]])</f>
        <v>17</v>
      </c>
      <c r="K393" s="2">
        <f t="shared" si="12"/>
        <v>42521</v>
      </c>
      <c r="L393" t="str">
        <f t="shared" si="13"/>
        <v>Tuesday</v>
      </c>
    </row>
    <row r="394" spans="1:12" x14ac:dyDescent="0.35">
      <c r="A394" s="1">
        <v>42522.429861111108</v>
      </c>
      <c r="B394" s="1">
        <v>42522.449305555558</v>
      </c>
      <c r="C394" t="s">
        <v>7</v>
      </c>
      <c r="D394" t="s">
        <v>15</v>
      </c>
      <c r="E394" t="s">
        <v>16</v>
      </c>
      <c r="F394">
        <v>6.7</v>
      </c>
      <c r="G394" t="s">
        <v>13</v>
      </c>
      <c r="J394">
        <f>HOUR(Table1[[#This Row],[START_DATE]])</f>
        <v>10</v>
      </c>
      <c r="K394" s="2">
        <f t="shared" si="12"/>
        <v>42522</v>
      </c>
      <c r="L394" t="str">
        <f t="shared" si="13"/>
        <v>Wednesday</v>
      </c>
    </row>
    <row r="395" spans="1:12" x14ac:dyDescent="0.35">
      <c r="A395" s="1">
        <v>42522.548611111109</v>
      </c>
      <c r="B395" s="1">
        <v>42522.568749999999</v>
      </c>
      <c r="C395" t="s">
        <v>7</v>
      </c>
      <c r="D395" t="s">
        <v>16</v>
      </c>
      <c r="E395" t="s">
        <v>15</v>
      </c>
      <c r="F395">
        <v>9.6</v>
      </c>
      <c r="G395" t="s">
        <v>11</v>
      </c>
      <c r="J395">
        <f>HOUR(Table1[[#This Row],[START_DATE]])</f>
        <v>13</v>
      </c>
      <c r="K395" s="2">
        <f t="shared" si="12"/>
        <v>42522</v>
      </c>
      <c r="L395" t="str">
        <f t="shared" si="13"/>
        <v>Wednesday</v>
      </c>
    </row>
    <row r="396" spans="1:12" x14ac:dyDescent="0.35">
      <c r="A396" s="1">
        <v>42524.478472222225</v>
      </c>
      <c r="B396" s="1">
        <v>42524.492361111108</v>
      </c>
      <c r="C396" t="s">
        <v>7</v>
      </c>
      <c r="D396" t="s">
        <v>15</v>
      </c>
      <c r="E396" t="s">
        <v>36</v>
      </c>
      <c r="F396">
        <v>10.4</v>
      </c>
      <c r="G396" t="s">
        <v>11</v>
      </c>
      <c r="J396">
        <f>HOUR(Table1[[#This Row],[START_DATE]])</f>
        <v>11</v>
      </c>
      <c r="K396" s="2">
        <f t="shared" si="12"/>
        <v>42524</v>
      </c>
      <c r="L396" t="str">
        <f t="shared" si="13"/>
        <v>Friday</v>
      </c>
    </row>
    <row r="397" spans="1:12" x14ac:dyDescent="0.35">
      <c r="A397" s="1">
        <v>42524.547222222223</v>
      </c>
      <c r="B397" s="1">
        <v>42524.568055555559</v>
      </c>
      <c r="C397" t="s">
        <v>7</v>
      </c>
      <c r="D397" t="s">
        <v>36</v>
      </c>
      <c r="E397" t="s">
        <v>15</v>
      </c>
      <c r="F397">
        <v>9.9</v>
      </c>
      <c r="G397" t="s">
        <v>11</v>
      </c>
      <c r="J397">
        <f>HOUR(Table1[[#This Row],[START_DATE]])</f>
        <v>13</v>
      </c>
      <c r="K397" s="2">
        <f t="shared" si="12"/>
        <v>42524</v>
      </c>
      <c r="L397" t="str">
        <f t="shared" si="13"/>
        <v>Friday</v>
      </c>
    </row>
    <row r="398" spans="1:12" x14ac:dyDescent="0.35">
      <c r="A398" s="1">
        <v>42524.646527777775</v>
      </c>
      <c r="B398" s="1">
        <v>42524.662499999999</v>
      </c>
      <c r="C398" t="s">
        <v>7</v>
      </c>
      <c r="D398" t="s">
        <v>15</v>
      </c>
      <c r="E398" t="s">
        <v>16</v>
      </c>
      <c r="F398">
        <v>6</v>
      </c>
      <c r="G398" t="s">
        <v>9</v>
      </c>
      <c r="J398">
        <f>HOUR(Table1[[#This Row],[START_DATE]])</f>
        <v>15</v>
      </c>
      <c r="K398" s="2">
        <f t="shared" si="12"/>
        <v>42524</v>
      </c>
      <c r="L398" t="str">
        <f t="shared" si="13"/>
        <v>Friday</v>
      </c>
    </row>
    <row r="399" spans="1:12" x14ac:dyDescent="0.35">
      <c r="A399" s="1">
        <v>42524.759722222225</v>
      </c>
      <c r="B399" s="1">
        <v>42524.770138888889</v>
      </c>
      <c r="C399" t="s">
        <v>7</v>
      </c>
      <c r="D399" t="s">
        <v>134</v>
      </c>
      <c r="E399" t="s">
        <v>114</v>
      </c>
      <c r="F399">
        <v>3.3</v>
      </c>
      <c r="G399" t="s">
        <v>10</v>
      </c>
      <c r="J399">
        <f>HOUR(Table1[[#This Row],[START_DATE]])</f>
        <v>18</v>
      </c>
      <c r="K399" s="2">
        <f t="shared" si="12"/>
        <v>42524</v>
      </c>
      <c r="L399" t="str">
        <f t="shared" si="13"/>
        <v>Friday</v>
      </c>
    </row>
    <row r="400" spans="1:12" x14ac:dyDescent="0.35">
      <c r="A400" s="1">
        <v>42524.77847222222</v>
      </c>
      <c r="B400" s="1">
        <v>42524.786805555559</v>
      </c>
      <c r="C400" t="s">
        <v>7</v>
      </c>
      <c r="D400" t="s">
        <v>16</v>
      </c>
      <c r="E400" t="s">
        <v>15</v>
      </c>
      <c r="F400">
        <v>3.1</v>
      </c>
      <c r="G400" t="s">
        <v>10</v>
      </c>
      <c r="J400">
        <f>HOUR(Table1[[#This Row],[START_DATE]])</f>
        <v>18</v>
      </c>
      <c r="K400" s="2">
        <f t="shared" si="12"/>
        <v>42524</v>
      </c>
      <c r="L400" t="str">
        <f t="shared" si="13"/>
        <v>Friday</v>
      </c>
    </row>
    <row r="401" spans="1:12" x14ac:dyDescent="0.35">
      <c r="A401" s="1">
        <v>42524.816666666666</v>
      </c>
      <c r="B401" s="1">
        <v>42524.820833333331</v>
      </c>
      <c r="C401" t="s">
        <v>7</v>
      </c>
      <c r="D401" t="s">
        <v>135</v>
      </c>
      <c r="E401" t="s">
        <v>75</v>
      </c>
      <c r="F401">
        <v>1.7</v>
      </c>
      <c r="G401" t="s">
        <v>10</v>
      </c>
      <c r="J401">
        <f>HOUR(Table1[[#This Row],[START_DATE]])</f>
        <v>19</v>
      </c>
      <c r="K401" s="2">
        <f t="shared" si="12"/>
        <v>42524</v>
      </c>
      <c r="L401" t="str">
        <f t="shared" si="13"/>
        <v>Friday</v>
      </c>
    </row>
    <row r="402" spans="1:12" x14ac:dyDescent="0.35">
      <c r="A402" s="1">
        <v>42524.949305555558</v>
      </c>
      <c r="B402" s="1">
        <v>42524.962500000001</v>
      </c>
      <c r="C402" t="s">
        <v>7</v>
      </c>
      <c r="D402" t="s">
        <v>16</v>
      </c>
      <c r="E402" t="s">
        <v>15</v>
      </c>
      <c r="F402">
        <v>4</v>
      </c>
      <c r="G402" t="s">
        <v>53</v>
      </c>
      <c r="J402">
        <f>HOUR(Table1[[#This Row],[START_DATE]])</f>
        <v>22</v>
      </c>
      <c r="K402" s="2">
        <f t="shared" si="12"/>
        <v>42524</v>
      </c>
      <c r="L402" t="str">
        <f t="shared" si="13"/>
        <v>Friday</v>
      </c>
    </row>
    <row r="403" spans="1:12" x14ac:dyDescent="0.35">
      <c r="A403" s="1">
        <v>42526.585416666669</v>
      </c>
      <c r="B403" s="1">
        <v>42526.606249999997</v>
      </c>
      <c r="C403" t="s">
        <v>7</v>
      </c>
      <c r="D403" t="s">
        <v>38</v>
      </c>
      <c r="E403" t="s">
        <v>131</v>
      </c>
      <c r="F403">
        <v>7.8</v>
      </c>
      <c r="G403" t="s">
        <v>13</v>
      </c>
      <c r="J403">
        <f>HOUR(Table1[[#This Row],[START_DATE]])</f>
        <v>14</v>
      </c>
      <c r="K403" s="2">
        <f t="shared" si="12"/>
        <v>42526</v>
      </c>
      <c r="L403" t="str">
        <f t="shared" si="13"/>
        <v>Sunday</v>
      </c>
    </row>
    <row r="404" spans="1:12" x14ac:dyDescent="0.35">
      <c r="A404" s="1">
        <v>42526.629166666666</v>
      </c>
      <c r="B404" s="1">
        <v>42526.640277777777</v>
      </c>
      <c r="C404" t="s">
        <v>7</v>
      </c>
      <c r="D404" t="s">
        <v>15</v>
      </c>
      <c r="E404" t="s">
        <v>16</v>
      </c>
      <c r="F404">
        <v>7.8</v>
      </c>
      <c r="G404" t="s">
        <v>13</v>
      </c>
      <c r="J404">
        <f>HOUR(Table1[[#This Row],[START_DATE]])</f>
        <v>15</v>
      </c>
      <c r="K404" s="2">
        <f t="shared" si="12"/>
        <v>42526</v>
      </c>
      <c r="L404" t="str">
        <f t="shared" si="13"/>
        <v>Sunday</v>
      </c>
    </row>
    <row r="405" spans="1:12" x14ac:dyDescent="0.35">
      <c r="A405" s="1">
        <v>42526.664583333331</v>
      </c>
      <c r="B405" s="1">
        <v>42526.672222222223</v>
      </c>
      <c r="C405" t="s">
        <v>7</v>
      </c>
      <c r="D405" t="s">
        <v>75</v>
      </c>
      <c r="E405" t="s">
        <v>75</v>
      </c>
      <c r="F405">
        <v>3.8</v>
      </c>
      <c r="G405" t="s">
        <v>9</v>
      </c>
      <c r="J405">
        <f>HOUR(Table1[[#This Row],[START_DATE]])</f>
        <v>15</v>
      </c>
      <c r="K405" s="2">
        <f t="shared" si="12"/>
        <v>42526</v>
      </c>
      <c r="L405" t="str">
        <f t="shared" si="13"/>
        <v>Sunday</v>
      </c>
    </row>
    <row r="406" spans="1:12" x14ac:dyDescent="0.35">
      <c r="A406" s="1">
        <v>42526.753472222219</v>
      </c>
      <c r="B406" s="1">
        <v>42526.759722222225</v>
      </c>
      <c r="C406" t="s">
        <v>7</v>
      </c>
      <c r="D406" t="s">
        <v>16</v>
      </c>
      <c r="E406" t="s">
        <v>15</v>
      </c>
      <c r="F406">
        <v>2.5</v>
      </c>
      <c r="G406" t="s">
        <v>9</v>
      </c>
      <c r="J406">
        <f>HOUR(Table1[[#This Row],[START_DATE]])</f>
        <v>18</v>
      </c>
      <c r="K406" s="2">
        <f t="shared" si="12"/>
        <v>42526</v>
      </c>
      <c r="L406" t="str">
        <f t="shared" si="13"/>
        <v>Sunday</v>
      </c>
    </row>
    <row r="407" spans="1:12" x14ac:dyDescent="0.35">
      <c r="A407" s="1">
        <v>42526.911805555559</v>
      </c>
      <c r="B407" s="1">
        <v>42526.920138888891</v>
      </c>
      <c r="C407" t="s">
        <v>7</v>
      </c>
      <c r="D407" t="s">
        <v>15</v>
      </c>
      <c r="E407" t="s">
        <v>36</v>
      </c>
      <c r="F407">
        <v>9.9</v>
      </c>
      <c r="G407" t="s">
        <v>11</v>
      </c>
      <c r="J407">
        <f>HOUR(Table1[[#This Row],[START_DATE]])</f>
        <v>21</v>
      </c>
      <c r="K407" s="2">
        <f t="shared" si="12"/>
        <v>42526</v>
      </c>
      <c r="L407" t="str">
        <f t="shared" si="13"/>
        <v>Sunday</v>
      </c>
    </row>
    <row r="408" spans="1:12" x14ac:dyDescent="0.35">
      <c r="A408" s="1">
        <v>42526.994444444441</v>
      </c>
      <c r="B408" s="1">
        <v>42527.005555555559</v>
      </c>
      <c r="C408" t="s">
        <v>7</v>
      </c>
      <c r="D408" t="s">
        <v>36</v>
      </c>
      <c r="E408" t="s">
        <v>15</v>
      </c>
      <c r="F408">
        <v>9.9</v>
      </c>
      <c r="G408" t="s">
        <v>11</v>
      </c>
      <c r="J408">
        <f>HOUR(Table1[[#This Row],[START_DATE]])</f>
        <v>23</v>
      </c>
      <c r="K408" s="2">
        <f t="shared" si="12"/>
        <v>42526</v>
      </c>
      <c r="L408" t="str">
        <f t="shared" si="13"/>
        <v>Sunday</v>
      </c>
    </row>
    <row r="409" spans="1:12" x14ac:dyDescent="0.35">
      <c r="A409" s="1">
        <v>42527.65</v>
      </c>
      <c r="B409" s="1">
        <v>42527.65625</v>
      </c>
      <c r="C409" t="s">
        <v>7</v>
      </c>
      <c r="D409" t="s">
        <v>38</v>
      </c>
      <c r="E409" t="s">
        <v>43</v>
      </c>
      <c r="F409">
        <v>3</v>
      </c>
      <c r="G409" t="s">
        <v>10</v>
      </c>
      <c r="J409">
        <f>HOUR(Table1[[#This Row],[START_DATE]])</f>
        <v>15</v>
      </c>
      <c r="K409" s="2">
        <f t="shared" si="12"/>
        <v>42527</v>
      </c>
      <c r="L409" t="str">
        <f t="shared" si="13"/>
        <v>Monday</v>
      </c>
    </row>
    <row r="410" spans="1:12" x14ac:dyDescent="0.35">
      <c r="A410" s="1">
        <v>42527.677777777775</v>
      </c>
      <c r="B410" s="1">
        <v>42527.683333333334</v>
      </c>
      <c r="C410" t="s">
        <v>7</v>
      </c>
      <c r="D410" t="s">
        <v>43</v>
      </c>
      <c r="E410" t="s">
        <v>38</v>
      </c>
      <c r="F410">
        <v>2.4</v>
      </c>
      <c r="G410" t="s">
        <v>10</v>
      </c>
      <c r="J410">
        <f>HOUR(Table1[[#This Row],[START_DATE]])</f>
        <v>16</v>
      </c>
      <c r="K410" s="2">
        <f t="shared" si="12"/>
        <v>42527</v>
      </c>
      <c r="L410" t="str">
        <f t="shared" si="13"/>
        <v>Monday</v>
      </c>
    </row>
    <row r="411" spans="1:12" x14ac:dyDescent="0.35">
      <c r="A411" s="1">
        <v>42527.837500000001</v>
      </c>
      <c r="B411" s="1">
        <v>42527.847222222219</v>
      </c>
      <c r="C411" t="s">
        <v>7</v>
      </c>
      <c r="D411" t="s">
        <v>15</v>
      </c>
      <c r="E411" t="s">
        <v>48</v>
      </c>
      <c r="F411">
        <v>5.7</v>
      </c>
      <c r="G411" t="s">
        <v>9</v>
      </c>
      <c r="J411">
        <f>HOUR(Table1[[#This Row],[START_DATE]])</f>
        <v>20</v>
      </c>
      <c r="K411" s="2">
        <f t="shared" si="12"/>
        <v>42527</v>
      </c>
      <c r="L411" t="str">
        <f t="shared" si="13"/>
        <v>Monday</v>
      </c>
    </row>
    <row r="412" spans="1:12" x14ac:dyDescent="0.35">
      <c r="A412" s="1">
        <v>42527.880555555559</v>
      </c>
      <c r="B412" s="1">
        <v>42527.900694444441</v>
      </c>
      <c r="C412" t="s">
        <v>7</v>
      </c>
      <c r="D412" t="s">
        <v>48</v>
      </c>
      <c r="E412" t="s">
        <v>15</v>
      </c>
      <c r="F412">
        <v>7.2</v>
      </c>
      <c r="G412" t="s">
        <v>9</v>
      </c>
      <c r="J412">
        <f>HOUR(Table1[[#This Row],[START_DATE]])</f>
        <v>21</v>
      </c>
      <c r="K412" s="2">
        <f t="shared" si="12"/>
        <v>42527</v>
      </c>
      <c r="L412" t="str">
        <f t="shared" si="13"/>
        <v>Monday</v>
      </c>
    </row>
    <row r="413" spans="1:12" x14ac:dyDescent="0.35">
      <c r="A413" s="1">
        <v>42527.90347222222</v>
      </c>
      <c r="B413" s="1">
        <v>42527.916666666664</v>
      </c>
      <c r="C413" t="s">
        <v>7</v>
      </c>
      <c r="D413" t="s">
        <v>15</v>
      </c>
      <c r="E413" t="s">
        <v>36</v>
      </c>
      <c r="F413">
        <v>10.4</v>
      </c>
      <c r="G413" t="s">
        <v>11</v>
      </c>
      <c r="J413">
        <f>HOUR(Table1[[#This Row],[START_DATE]])</f>
        <v>21</v>
      </c>
      <c r="K413" s="2">
        <f t="shared" si="12"/>
        <v>42527</v>
      </c>
      <c r="L413" t="str">
        <f t="shared" si="13"/>
        <v>Monday</v>
      </c>
    </row>
    <row r="414" spans="1:12" x14ac:dyDescent="0.35">
      <c r="A414" s="1">
        <v>42527.981944444444</v>
      </c>
      <c r="B414" s="1">
        <v>42527.991666666669</v>
      </c>
      <c r="C414" t="s">
        <v>7</v>
      </c>
      <c r="D414" t="s">
        <v>36</v>
      </c>
      <c r="E414" t="s">
        <v>15</v>
      </c>
      <c r="F414">
        <v>9.9</v>
      </c>
      <c r="G414" t="s">
        <v>11</v>
      </c>
      <c r="J414">
        <f>HOUR(Table1[[#This Row],[START_DATE]])</f>
        <v>23</v>
      </c>
      <c r="K414" s="2">
        <f t="shared" si="12"/>
        <v>42527</v>
      </c>
      <c r="L414" t="str">
        <f t="shared" si="13"/>
        <v>Monday</v>
      </c>
    </row>
    <row r="415" spans="1:12" x14ac:dyDescent="0.35">
      <c r="A415" s="1">
        <v>42528.904166666667</v>
      </c>
      <c r="B415" s="1">
        <v>42528.916666666664</v>
      </c>
      <c r="C415" t="s">
        <v>7</v>
      </c>
      <c r="D415" t="s">
        <v>15</v>
      </c>
      <c r="E415" t="s">
        <v>36</v>
      </c>
      <c r="F415">
        <v>10.4</v>
      </c>
      <c r="G415" t="s">
        <v>11</v>
      </c>
      <c r="J415">
        <f>HOUR(Table1[[#This Row],[START_DATE]])</f>
        <v>21</v>
      </c>
      <c r="K415" s="2">
        <f t="shared" si="12"/>
        <v>42528</v>
      </c>
      <c r="L415" t="str">
        <f t="shared" si="13"/>
        <v>Tuesday</v>
      </c>
    </row>
    <row r="416" spans="1:12" x14ac:dyDescent="0.35">
      <c r="A416" s="1">
        <v>42528.986805555556</v>
      </c>
      <c r="B416" s="1">
        <v>42529.00277777778</v>
      </c>
      <c r="C416" t="s">
        <v>7</v>
      </c>
      <c r="D416" t="s">
        <v>36</v>
      </c>
      <c r="E416" t="s">
        <v>15</v>
      </c>
      <c r="F416">
        <v>9.9</v>
      </c>
      <c r="G416" t="s">
        <v>11</v>
      </c>
      <c r="J416">
        <f>HOUR(Table1[[#This Row],[START_DATE]])</f>
        <v>23</v>
      </c>
      <c r="K416" s="2">
        <f t="shared" si="12"/>
        <v>42528</v>
      </c>
      <c r="L416" t="str">
        <f t="shared" si="13"/>
        <v>Tuesday</v>
      </c>
    </row>
    <row r="417" spans="1:12" x14ac:dyDescent="0.35">
      <c r="A417" s="1">
        <v>42529.349305555559</v>
      </c>
      <c r="B417" s="1">
        <v>42529.370138888888</v>
      </c>
      <c r="C417" t="s">
        <v>7</v>
      </c>
      <c r="D417" t="s">
        <v>15</v>
      </c>
      <c r="E417" t="s">
        <v>16</v>
      </c>
      <c r="F417">
        <v>8.6999999999999993</v>
      </c>
      <c r="G417" t="s">
        <v>9</v>
      </c>
      <c r="J417">
        <f>HOUR(Table1[[#This Row],[START_DATE]])</f>
        <v>8</v>
      </c>
      <c r="K417" s="2">
        <f t="shared" si="12"/>
        <v>42529</v>
      </c>
      <c r="L417" t="str">
        <f t="shared" si="13"/>
        <v>Wednesday</v>
      </c>
    </row>
    <row r="418" spans="1:12" x14ac:dyDescent="0.35">
      <c r="A418" s="1">
        <v>42529.50277777778</v>
      </c>
      <c r="B418" s="1">
        <v>42529.542361111111</v>
      </c>
      <c r="C418" t="s">
        <v>7</v>
      </c>
      <c r="D418" t="s">
        <v>17</v>
      </c>
      <c r="E418" t="s">
        <v>18</v>
      </c>
      <c r="F418">
        <v>22.3</v>
      </c>
      <c r="G418" t="s">
        <v>10</v>
      </c>
      <c r="J418">
        <f>HOUR(Table1[[#This Row],[START_DATE]])</f>
        <v>12</v>
      </c>
      <c r="K418" s="2">
        <f t="shared" si="12"/>
        <v>42529</v>
      </c>
      <c r="L418" t="str">
        <f t="shared" si="13"/>
        <v>Wednesday</v>
      </c>
    </row>
    <row r="419" spans="1:12" x14ac:dyDescent="0.35">
      <c r="A419" s="1">
        <v>42529.55</v>
      </c>
      <c r="B419" s="1">
        <v>42529.561805555553</v>
      </c>
      <c r="C419" t="s">
        <v>7</v>
      </c>
      <c r="D419" t="s">
        <v>136</v>
      </c>
      <c r="E419" t="s">
        <v>137</v>
      </c>
      <c r="F419">
        <v>3.3</v>
      </c>
      <c r="G419" t="s">
        <v>9</v>
      </c>
      <c r="J419">
        <f>HOUR(Table1[[#This Row],[START_DATE]])</f>
        <v>13</v>
      </c>
      <c r="K419" s="2">
        <f t="shared" si="12"/>
        <v>42529</v>
      </c>
      <c r="L419" t="str">
        <f t="shared" si="13"/>
        <v>Wednesday</v>
      </c>
    </row>
    <row r="420" spans="1:12" x14ac:dyDescent="0.35">
      <c r="A420" s="1">
        <v>42529.604861111111</v>
      </c>
      <c r="B420" s="1">
        <v>42529.609027777777</v>
      </c>
      <c r="C420" t="s">
        <v>7</v>
      </c>
      <c r="D420" t="s">
        <v>138</v>
      </c>
      <c r="E420" t="s">
        <v>139</v>
      </c>
      <c r="F420">
        <v>0.7</v>
      </c>
      <c r="G420" t="s">
        <v>10</v>
      </c>
      <c r="J420">
        <f>HOUR(Table1[[#This Row],[START_DATE]])</f>
        <v>14</v>
      </c>
      <c r="K420" s="2">
        <f t="shared" si="12"/>
        <v>42529</v>
      </c>
      <c r="L420" t="str">
        <f t="shared" si="13"/>
        <v>Wednesday</v>
      </c>
    </row>
    <row r="421" spans="1:12" x14ac:dyDescent="0.35">
      <c r="A421" s="1">
        <v>42529.704861111109</v>
      </c>
      <c r="B421" s="1">
        <v>42529.71597222222</v>
      </c>
      <c r="C421" t="s">
        <v>7</v>
      </c>
      <c r="D421" t="s">
        <v>140</v>
      </c>
      <c r="E421" t="s">
        <v>141</v>
      </c>
      <c r="F421">
        <v>2.5</v>
      </c>
      <c r="G421" t="s">
        <v>9</v>
      </c>
      <c r="J421">
        <f>HOUR(Table1[[#This Row],[START_DATE]])</f>
        <v>16</v>
      </c>
      <c r="K421" s="2">
        <f t="shared" si="12"/>
        <v>42529</v>
      </c>
      <c r="L421" t="str">
        <f t="shared" si="13"/>
        <v>Wednesday</v>
      </c>
    </row>
    <row r="422" spans="1:12" x14ac:dyDescent="0.35">
      <c r="A422" s="1">
        <v>42529.719444444447</v>
      </c>
      <c r="B422" s="1">
        <v>42529.720833333333</v>
      </c>
      <c r="C422" t="s">
        <v>7</v>
      </c>
      <c r="D422" t="s">
        <v>141</v>
      </c>
      <c r="E422" t="s">
        <v>142</v>
      </c>
      <c r="F422">
        <v>0.5</v>
      </c>
      <c r="G422" t="s">
        <v>10</v>
      </c>
      <c r="J422">
        <f>HOUR(Table1[[#This Row],[START_DATE]])</f>
        <v>17</v>
      </c>
      <c r="K422" s="2">
        <f t="shared" si="12"/>
        <v>42529</v>
      </c>
      <c r="L422" t="str">
        <f t="shared" si="13"/>
        <v>Wednesday</v>
      </c>
    </row>
    <row r="423" spans="1:12" x14ac:dyDescent="0.35">
      <c r="A423" s="1">
        <v>42529.749305555553</v>
      </c>
      <c r="B423" s="1">
        <v>42529.753472222219</v>
      </c>
      <c r="C423" t="s">
        <v>7</v>
      </c>
      <c r="D423" t="s">
        <v>142</v>
      </c>
      <c r="E423" t="s">
        <v>143</v>
      </c>
      <c r="F423">
        <v>0.9</v>
      </c>
      <c r="G423" t="s">
        <v>10</v>
      </c>
      <c r="J423">
        <f>HOUR(Table1[[#This Row],[START_DATE]])</f>
        <v>17</v>
      </c>
      <c r="K423" s="2">
        <f t="shared" si="12"/>
        <v>42529</v>
      </c>
      <c r="L423" t="str">
        <f t="shared" si="13"/>
        <v>Wednesday</v>
      </c>
    </row>
    <row r="424" spans="1:12" x14ac:dyDescent="0.35">
      <c r="A424" s="1">
        <v>42529.84097222222</v>
      </c>
      <c r="B424" s="1">
        <v>42529.850694444445</v>
      </c>
      <c r="C424" t="s">
        <v>7</v>
      </c>
      <c r="D424" t="s">
        <v>143</v>
      </c>
      <c r="E424" t="s">
        <v>144</v>
      </c>
      <c r="F424">
        <v>4.8</v>
      </c>
      <c r="G424" t="s">
        <v>10</v>
      </c>
      <c r="J424">
        <f>HOUR(Table1[[#This Row],[START_DATE]])</f>
        <v>20</v>
      </c>
      <c r="K424" s="2">
        <f t="shared" si="12"/>
        <v>42529</v>
      </c>
      <c r="L424" t="str">
        <f t="shared" si="13"/>
        <v>Wednesday</v>
      </c>
    </row>
    <row r="425" spans="1:12" x14ac:dyDescent="0.35">
      <c r="A425" s="1">
        <v>42531.638194444444</v>
      </c>
      <c r="B425" s="1">
        <v>42531.686111111114</v>
      </c>
      <c r="C425" t="s">
        <v>7</v>
      </c>
      <c r="D425" t="s">
        <v>18</v>
      </c>
      <c r="E425" t="s">
        <v>17</v>
      </c>
      <c r="F425">
        <v>16.3</v>
      </c>
      <c r="G425" t="s">
        <v>11</v>
      </c>
      <c r="J425">
        <f>HOUR(Table1[[#This Row],[START_DATE]])</f>
        <v>15</v>
      </c>
      <c r="K425" s="2">
        <f t="shared" si="12"/>
        <v>42531</v>
      </c>
      <c r="L425" t="str">
        <f t="shared" si="13"/>
        <v>Friday</v>
      </c>
    </row>
    <row r="426" spans="1:12" x14ac:dyDescent="0.35">
      <c r="A426" s="1">
        <v>42531.907638888886</v>
      </c>
      <c r="B426" s="1">
        <v>42531.919444444444</v>
      </c>
      <c r="C426" t="s">
        <v>7</v>
      </c>
      <c r="D426" t="s">
        <v>15</v>
      </c>
      <c r="E426" t="s">
        <v>36</v>
      </c>
      <c r="F426">
        <v>10.4</v>
      </c>
      <c r="G426" t="s">
        <v>11</v>
      </c>
      <c r="J426">
        <f>HOUR(Table1[[#This Row],[START_DATE]])</f>
        <v>21</v>
      </c>
      <c r="K426" s="2">
        <f t="shared" si="12"/>
        <v>42531</v>
      </c>
      <c r="L426" t="str">
        <f t="shared" si="13"/>
        <v>Friday</v>
      </c>
    </row>
    <row r="427" spans="1:12" x14ac:dyDescent="0.35">
      <c r="A427" s="1">
        <v>42531.995138888888</v>
      </c>
      <c r="B427" s="1">
        <v>42532.000694444447</v>
      </c>
      <c r="C427" t="s">
        <v>7</v>
      </c>
      <c r="D427" t="s">
        <v>36</v>
      </c>
      <c r="E427" t="s">
        <v>15</v>
      </c>
      <c r="F427">
        <v>9.9</v>
      </c>
      <c r="G427" t="s">
        <v>11</v>
      </c>
      <c r="J427">
        <f>HOUR(Table1[[#This Row],[START_DATE]])</f>
        <v>23</v>
      </c>
      <c r="K427" s="2">
        <f t="shared" si="12"/>
        <v>42531</v>
      </c>
      <c r="L427" t="str">
        <f t="shared" si="13"/>
        <v>Friday</v>
      </c>
    </row>
    <row r="428" spans="1:12" x14ac:dyDescent="0.35">
      <c r="A428" s="1">
        <v>42532.713888888888</v>
      </c>
      <c r="B428" s="1">
        <v>42532.719444444447</v>
      </c>
      <c r="C428" t="s">
        <v>7</v>
      </c>
      <c r="D428" t="s">
        <v>15</v>
      </c>
      <c r="E428" t="s">
        <v>16</v>
      </c>
      <c r="F428">
        <v>3.7</v>
      </c>
      <c r="G428" t="s">
        <v>10</v>
      </c>
      <c r="J428">
        <f>HOUR(Table1[[#This Row],[START_DATE]])</f>
        <v>17</v>
      </c>
      <c r="K428" s="2">
        <f t="shared" si="12"/>
        <v>42532</v>
      </c>
      <c r="L428" t="str">
        <f t="shared" si="13"/>
        <v>Saturday</v>
      </c>
    </row>
    <row r="429" spans="1:12" x14ac:dyDescent="0.35">
      <c r="A429" s="1">
        <v>42532.731944444444</v>
      </c>
      <c r="B429" s="1">
        <v>42532.73541666667</v>
      </c>
      <c r="C429" t="s">
        <v>7</v>
      </c>
      <c r="D429" t="s">
        <v>16</v>
      </c>
      <c r="E429" t="s">
        <v>15</v>
      </c>
      <c r="F429">
        <v>4.5999999999999996</v>
      </c>
      <c r="G429" t="s">
        <v>9</v>
      </c>
      <c r="J429">
        <f>HOUR(Table1[[#This Row],[START_DATE]])</f>
        <v>17</v>
      </c>
      <c r="K429" s="2">
        <f t="shared" si="12"/>
        <v>42532</v>
      </c>
      <c r="L429" t="str">
        <f t="shared" si="13"/>
        <v>Saturday</v>
      </c>
    </row>
    <row r="430" spans="1:12" x14ac:dyDescent="0.35">
      <c r="A430" s="1">
        <v>42532.743055555555</v>
      </c>
      <c r="B430" s="1">
        <v>42532.74722222222</v>
      </c>
      <c r="C430" t="s">
        <v>7</v>
      </c>
      <c r="D430" t="s">
        <v>44</v>
      </c>
      <c r="E430" t="s">
        <v>38</v>
      </c>
      <c r="F430">
        <v>1.7</v>
      </c>
      <c r="J430">
        <f>HOUR(Table1[[#This Row],[START_DATE]])</f>
        <v>17</v>
      </c>
      <c r="K430" s="2">
        <f t="shared" si="12"/>
        <v>42532</v>
      </c>
      <c r="L430" t="str">
        <f t="shared" si="13"/>
        <v>Saturday</v>
      </c>
    </row>
    <row r="431" spans="1:12" x14ac:dyDescent="0.35">
      <c r="A431" s="1">
        <v>42532.90625</v>
      </c>
      <c r="B431" s="1">
        <v>42532.919444444444</v>
      </c>
      <c r="C431" t="s">
        <v>7</v>
      </c>
      <c r="D431" t="s">
        <v>15</v>
      </c>
      <c r="E431" t="s">
        <v>36</v>
      </c>
      <c r="F431">
        <v>10.4</v>
      </c>
      <c r="G431" t="s">
        <v>11</v>
      </c>
      <c r="J431">
        <f>HOUR(Table1[[#This Row],[START_DATE]])</f>
        <v>21</v>
      </c>
      <c r="K431" s="2">
        <f t="shared" si="12"/>
        <v>42532</v>
      </c>
      <c r="L431" t="str">
        <f t="shared" si="13"/>
        <v>Saturday</v>
      </c>
    </row>
    <row r="432" spans="1:12" x14ac:dyDescent="0.35">
      <c r="A432" s="1">
        <v>42532.98541666667</v>
      </c>
      <c r="B432" s="1">
        <v>42533.003472222219</v>
      </c>
      <c r="C432" t="s">
        <v>7</v>
      </c>
      <c r="D432" t="s">
        <v>36</v>
      </c>
      <c r="E432" t="s">
        <v>15</v>
      </c>
      <c r="F432">
        <v>9.9</v>
      </c>
      <c r="G432" t="s">
        <v>11</v>
      </c>
      <c r="J432">
        <f>HOUR(Table1[[#This Row],[START_DATE]])</f>
        <v>23</v>
      </c>
      <c r="K432" s="2">
        <f t="shared" si="12"/>
        <v>42532</v>
      </c>
      <c r="L432" t="str">
        <f t="shared" si="13"/>
        <v>Saturday</v>
      </c>
    </row>
    <row r="433" spans="1:12" x14ac:dyDescent="0.35">
      <c r="A433" s="1">
        <v>42533.828472222223</v>
      </c>
      <c r="B433" s="1">
        <v>42533.830555555556</v>
      </c>
      <c r="C433" t="s">
        <v>7</v>
      </c>
      <c r="D433" t="s">
        <v>15</v>
      </c>
      <c r="E433" t="s">
        <v>16</v>
      </c>
      <c r="F433">
        <v>2.5</v>
      </c>
      <c r="G433" t="s">
        <v>9</v>
      </c>
      <c r="J433">
        <f>HOUR(Table1[[#This Row],[START_DATE]])</f>
        <v>19</v>
      </c>
      <c r="K433" s="2">
        <f t="shared" si="12"/>
        <v>42533</v>
      </c>
      <c r="L433" t="str">
        <f t="shared" si="13"/>
        <v>Sunday</v>
      </c>
    </row>
    <row r="434" spans="1:12" x14ac:dyDescent="0.35">
      <c r="A434" s="1">
        <v>42533.836805555555</v>
      </c>
      <c r="B434" s="1">
        <v>42533.844444444447</v>
      </c>
      <c r="C434" t="s">
        <v>7</v>
      </c>
      <c r="D434" t="s">
        <v>16</v>
      </c>
      <c r="E434" t="s">
        <v>15</v>
      </c>
      <c r="F434">
        <v>4.3</v>
      </c>
      <c r="G434" t="s">
        <v>10</v>
      </c>
      <c r="J434">
        <f>HOUR(Table1[[#This Row],[START_DATE]])</f>
        <v>20</v>
      </c>
      <c r="K434" s="2">
        <f t="shared" si="12"/>
        <v>42533</v>
      </c>
      <c r="L434" t="str">
        <f t="shared" si="13"/>
        <v>Sunday</v>
      </c>
    </row>
    <row r="435" spans="1:12" x14ac:dyDescent="0.35">
      <c r="A435" s="1">
        <v>42533.915277777778</v>
      </c>
      <c r="B435" s="1">
        <v>42533.929861111108</v>
      </c>
      <c r="C435" t="s">
        <v>7</v>
      </c>
      <c r="D435" t="s">
        <v>116</v>
      </c>
      <c r="E435" t="s">
        <v>38</v>
      </c>
      <c r="F435">
        <v>2.8</v>
      </c>
      <c r="G435" t="s">
        <v>10</v>
      </c>
      <c r="J435">
        <f>HOUR(Table1[[#This Row],[START_DATE]])</f>
        <v>21</v>
      </c>
      <c r="K435" s="2">
        <f t="shared" si="12"/>
        <v>42533</v>
      </c>
      <c r="L435" t="str">
        <f t="shared" si="13"/>
        <v>Sunday</v>
      </c>
    </row>
    <row r="436" spans="1:12" x14ac:dyDescent="0.35">
      <c r="A436" s="1">
        <v>42534.224305555559</v>
      </c>
      <c r="B436" s="1">
        <v>42534.237500000003</v>
      </c>
      <c r="C436" t="s">
        <v>7</v>
      </c>
      <c r="D436" t="s">
        <v>15</v>
      </c>
      <c r="E436" t="s">
        <v>16</v>
      </c>
      <c r="F436">
        <v>8.4</v>
      </c>
      <c r="G436" t="s">
        <v>9</v>
      </c>
      <c r="J436">
        <f>HOUR(Table1[[#This Row],[START_DATE]])</f>
        <v>5</v>
      </c>
      <c r="K436" s="2">
        <f t="shared" si="12"/>
        <v>42534</v>
      </c>
      <c r="L436" t="str">
        <f t="shared" si="13"/>
        <v>Monday</v>
      </c>
    </row>
    <row r="437" spans="1:12" x14ac:dyDescent="0.35">
      <c r="A437" s="1">
        <v>42534.595138888886</v>
      </c>
      <c r="B437" s="1">
        <v>42534.615277777775</v>
      </c>
      <c r="C437" t="s">
        <v>7</v>
      </c>
      <c r="D437" t="s">
        <v>145</v>
      </c>
      <c r="E437" t="s">
        <v>146</v>
      </c>
      <c r="F437">
        <v>13.2</v>
      </c>
      <c r="G437" t="s">
        <v>11</v>
      </c>
      <c r="J437">
        <f>HOUR(Table1[[#This Row],[START_DATE]])</f>
        <v>14</v>
      </c>
      <c r="K437" s="2">
        <f t="shared" si="12"/>
        <v>42534</v>
      </c>
      <c r="L437" t="str">
        <f t="shared" si="13"/>
        <v>Monday</v>
      </c>
    </row>
    <row r="438" spans="1:12" x14ac:dyDescent="0.35">
      <c r="A438" s="1">
        <v>42534.755555555559</v>
      </c>
      <c r="B438" s="1">
        <v>42534.782638888886</v>
      </c>
      <c r="C438" t="s">
        <v>7</v>
      </c>
      <c r="D438" t="s">
        <v>146</v>
      </c>
      <c r="E438" t="s">
        <v>147</v>
      </c>
      <c r="F438">
        <v>3.9</v>
      </c>
      <c r="G438" t="s">
        <v>9</v>
      </c>
      <c r="J438">
        <f>HOUR(Table1[[#This Row],[START_DATE]])</f>
        <v>18</v>
      </c>
      <c r="K438" s="2">
        <f t="shared" si="12"/>
        <v>42534</v>
      </c>
      <c r="L438" t="str">
        <f t="shared" si="13"/>
        <v>Monday</v>
      </c>
    </row>
    <row r="439" spans="1:12" x14ac:dyDescent="0.35">
      <c r="A439" s="1">
        <v>42534.787499999999</v>
      </c>
      <c r="B439" s="1">
        <v>42534.807638888888</v>
      </c>
      <c r="C439" t="s">
        <v>7</v>
      </c>
      <c r="D439" t="s">
        <v>147</v>
      </c>
      <c r="E439" t="s">
        <v>145</v>
      </c>
      <c r="F439">
        <v>5.0999999999999996</v>
      </c>
      <c r="G439" t="s">
        <v>9</v>
      </c>
      <c r="J439">
        <f>HOUR(Table1[[#This Row],[START_DATE]])</f>
        <v>18</v>
      </c>
      <c r="K439" s="2">
        <f t="shared" si="12"/>
        <v>42534</v>
      </c>
      <c r="L439" t="str">
        <f t="shared" si="13"/>
        <v>Monday</v>
      </c>
    </row>
    <row r="440" spans="1:12" x14ac:dyDescent="0.35">
      <c r="A440" s="1">
        <v>42534.833333333336</v>
      </c>
      <c r="B440" s="1">
        <v>42534.836805555555</v>
      </c>
      <c r="C440" t="s">
        <v>7</v>
      </c>
      <c r="D440" t="s">
        <v>145</v>
      </c>
      <c r="E440" t="s">
        <v>65</v>
      </c>
      <c r="F440">
        <v>5.2</v>
      </c>
      <c r="G440" t="s">
        <v>13</v>
      </c>
      <c r="J440">
        <f>HOUR(Table1[[#This Row],[START_DATE]])</f>
        <v>20</v>
      </c>
      <c r="K440" s="2">
        <f t="shared" si="12"/>
        <v>42534</v>
      </c>
      <c r="L440" t="str">
        <f t="shared" si="13"/>
        <v>Monday</v>
      </c>
    </row>
    <row r="441" spans="1:12" x14ac:dyDescent="0.35">
      <c r="A441" s="1">
        <v>42535.502083333333</v>
      </c>
      <c r="B441" s="1">
        <v>42535.51458333333</v>
      </c>
      <c r="C441" t="s">
        <v>7</v>
      </c>
      <c r="D441" t="s">
        <v>146</v>
      </c>
      <c r="E441" t="s">
        <v>123</v>
      </c>
      <c r="F441">
        <v>9.8000000000000007</v>
      </c>
      <c r="J441">
        <f>HOUR(Table1[[#This Row],[START_DATE]])</f>
        <v>12</v>
      </c>
      <c r="K441" s="2">
        <f t="shared" si="12"/>
        <v>42535</v>
      </c>
      <c r="L441" t="str">
        <f t="shared" si="13"/>
        <v>Tuesday</v>
      </c>
    </row>
    <row r="442" spans="1:12" x14ac:dyDescent="0.35">
      <c r="A442" s="1">
        <v>42535.67291666667</v>
      </c>
      <c r="B442" s="1">
        <v>42535.693749999999</v>
      </c>
      <c r="C442" t="s">
        <v>7</v>
      </c>
      <c r="D442" t="s">
        <v>123</v>
      </c>
      <c r="E442" t="s">
        <v>146</v>
      </c>
      <c r="F442">
        <v>11.6</v>
      </c>
      <c r="G442" t="s">
        <v>11</v>
      </c>
      <c r="J442">
        <f>HOUR(Table1[[#This Row],[START_DATE]])</f>
        <v>16</v>
      </c>
      <c r="K442" s="2">
        <f t="shared" si="12"/>
        <v>42535</v>
      </c>
      <c r="L442" t="str">
        <f t="shared" si="13"/>
        <v>Tuesday</v>
      </c>
    </row>
    <row r="443" spans="1:12" x14ac:dyDescent="0.35">
      <c r="A443" s="1">
        <v>42535.71875</v>
      </c>
      <c r="B443" s="1">
        <v>42535.724999999999</v>
      </c>
      <c r="C443" t="s">
        <v>7</v>
      </c>
      <c r="D443" t="s">
        <v>146</v>
      </c>
      <c r="E443" t="s">
        <v>145</v>
      </c>
      <c r="F443">
        <v>5.0999999999999996</v>
      </c>
      <c r="G443" t="s">
        <v>11</v>
      </c>
      <c r="J443">
        <f>HOUR(Table1[[#This Row],[START_DATE]])</f>
        <v>17</v>
      </c>
      <c r="K443" s="2">
        <f t="shared" si="12"/>
        <v>42535</v>
      </c>
      <c r="L443" t="str">
        <f t="shared" si="13"/>
        <v>Tuesday</v>
      </c>
    </row>
    <row r="444" spans="1:12" x14ac:dyDescent="0.35">
      <c r="A444" s="1">
        <v>42535.727083333331</v>
      </c>
      <c r="B444" s="1">
        <v>42535.747916666667</v>
      </c>
      <c r="C444" t="s">
        <v>7</v>
      </c>
      <c r="D444" t="s">
        <v>31</v>
      </c>
      <c r="E444" t="s">
        <v>148</v>
      </c>
      <c r="F444">
        <v>9.3000000000000007</v>
      </c>
      <c r="G444" t="s">
        <v>10</v>
      </c>
      <c r="J444">
        <f>HOUR(Table1[[#This Row],[START_DATE]])</f>
        <v>17</v>
      </c>
      <c r="K444" s="2">
        <f t="shared" si="12"/>
        <v>42535</v>
      </c>
      <c r="L444" t="str">
        <f t="shared" si="13"/>
        <v>Tuesday</v>
      </c>
    </row>
    <row r="445" spans="1:12" x14ac:dyDescent="0.35">
      <c r="A445" s="1">
        <v>42536.073611111111</v>
      </c>
      <c r="B445" s="1">
        <v>42536.087500000001</v>
      </c>
      <c r="C445" t="s">
        <v>7</v>
      </c>
      <c r="D445" t="s">
        <v>149</v>
      </c>
      <c r="E445" t="s">
        <v>150</v>
      </c>
      <c r="F445">
        <v>12.4</v>
      </c>
      <c r="G445" t="s">
        <v>53</v>
      </c>
      <c r="J445">
        <f>HOUR(Table1[[#This Row],[START_DATE]])</f>
        <v>1</v>
      </c>
      <c r="K445" s="2">
        <f t="shared" si="12"/>
        <v>42536</v>
      </c>
      <c r="L445" t="str">
        <f t="shared" si="13"/>
        <v>Wednesday</v>
      </c>
    </row>
    <row r="446" spans="1:12" x14ac:dyDescent="0.35">
      <c r="A446" s="1">
        <v>42536.643055555556</v>
      </c>
      <c r="B446" s="1">
        <v>42536.648611111108</v>
      </c>
      <c r="C446" t="s">
        <v>7</v>
      </c>
      <c r="D446" t="s">
        <v>151</v>
      </c>
      <c r="E446" t="s">
        <v>152</v>
      </c>
      <c r="F446">
        <v>1.9</v>
      </c>
      <c r="G446" t="s">
        <v>53</v>
      </c>
      <c r="J446">
        <f>HOUR(Table1[[#This Row],[START_DATE]])</f>
        <v>15</v>
      </c>
      <c r="K446" s="2">
        <f t="shared" si="12"/>
        <v>42536</v>
      </c>
      <c r="L446" t="str">
        <f t="shared" si="13"/>
        <v>Wednesday</v>
      </c>
    </row>
    <row r="447" spans="1:12" x14ac:dyDescent="0.35">
      <c r="A447" s="1">
        <v>42536.692361111112</v>
      </c>
      <c r="B447" s="1">
        <v>42536.709722222222</v>
      </c>
      <c r="C447" t="s">
        <v>7</v>
      </c>
      <c r="D447" t="s">
        <v>152</v>
      </c>
      <c r="E447" t="s">
        <v>153</v>
      </c>
      <c r="F447">
        <v>6.4</v>
      </c>
      <c r="G447" t="s">
        <v>13</v>
      </c>
      <c r="J447">
        <f>HOUR(Table1[[#This Row],[START_DATE]])</f>
        <v>16</v>
      </c>
      <c r="K447" s="2">
        <f t="shared" si="12"/>
        <v>42536</v>
      </c>
      <c r="L447" t="str">
        <f t="shared" si="13"/>
        <v>Wednesday</v>
      </c>
    </row>
    <row r="448" spans="1:12" x14ac:dyDescent="0.35">
      <c r="A448" s="1">
        <v>42536.728472222225</v>
      </c>
      <c r="B448" s="1">
        <v>42536.742361111108</v>
      </c>
      <c r="C448" t="s">
        <v>55</v>
      </c>
      <c r="D448" t="s">
        <v>153</v>
      </c>
      <c r="E448" t="s">
        <v>154</v>
      </c>
      <c r="F448">
        <v>5.5</v>
      </c>
      <c r="J448">
        <f>HOUR(Table1[[#This Row],[START_DATE]])</f>
        <v>17</v>
      </c>
      <c r="K448" s="2">
        <f t="shared" si="12"/>
        <v>42536</v>
      </c>
      <c r="L448" t="str">
        <f t="shared" si="13"/>
        <v>Wednesday</v>
      </c>
    </row>
    <row r="449" spans="1:12" x14ac:dyDescent="0.35">
      <c r="A449" s="1">
        <v>42536.827777777777</v>
      </c>
      <c r="B449" s="1">
        <v>42536.831944444442</v>
      </c>
      <c r="C449" t="s">
        <v>7</v>
      </c>
      <c r="D449" t="s">
        <v>154</v>
      </c>
      <c r="E449" t="s">
        <v>155</v>
      </c>
      <c r="F449">
        <v>1.5</v>
      </c>
      <c r="G449" t="s">
        <v>9</v>
      </c>
      <c r="J449">
        <f>HOUR(Table1[[#This Row],[START_DATE]])</f>
        <v>19</v>
      </c>
      <c r="K449" s="2">
        <f t="shared" si="12"/>
        <v>42536</v>
      </c>
      <c r="L449" t="str">
        <f t="shared" si="13"/>
        <v>Wednesday</v>
      </c>
    </row>
    <row r="450" spans="1:12" x14ac:dyDescent="0.35">
      <c r="A450" s="1">
        <v>42537.566666666666</v>
      </c>
      <c r="B450" s="1">
        <v>42537.604166666664</v>
      </c>
      <c r="C450" t="s">
        <v>7</v>
      </c>
      <c r="D450" t="s">
        <v>150</v>
      </c>
      <c r="E450" t="s">
        <v>156</v>
      </c>
      <c r="F450">
        <v>14.5</v>
      </c>
      <c r="J450">
        <f>HOUR(Table1[[#This Row],[START_DATE]])</f>
        <v>13</v>
      </c>
      <c r="K450" s="2">
        <f t="shared" si="12"/>
        <v>42537</v>
      </c>
      <c r="L450" t="str">
        <f t="shared" si="13"/>
        <v>Thursday</v>
      </c>
    </row>
    <row r="451" spans="1:12" x14ac:dyDescent="0.35">
      <c r="A451" s="1">
        <v>42537.612500000003</v>
      </c>
      <c r="B451" s="1">
        <v>42537.615277777775</v>
      </c>
      <c r="C451" t="s">
        <v>7</v>
      </c>
      <c r="D451" t="s">
        <v>156</v>
      </c>
      <c r="E451" t="s">
        <v>149</v>
      </c>
      <c r="F451">
        <v>2.7</v>
      </c>
      <c r="J451">
        <f>HOUR(Table1[[#This Row],[START_DATE]])</f>
        <v>14</v>
      </c>
      <c r="K451" s="2">
        <f t="shared" ref="K451:K514" si="14">DATE(YEAR(A451), MONTH(A451), DAY(A451))</f>
        <v>42537</v>
      </c>
      <c r="L451" t="str">
        <f t="shared" ref="L451:L514" si="15">TEXT(A451,"dddd")</f>
        <v>Thursday</v>
      </c>
    </row>
    <row r="452" spans="1:12" x14ac:dyDescent="0.35">
      <c r="A452" s="1">
        <v>42537.636805555558</v>
      </c>
      <c r="B452" s="1">
        <v>42537.65347222222</v>
      </c>
      <c r="C452" t="s">
        <v>7</v>
      </c>
      <c r="D452" t="s">
        <v>149</v>
      </c>
      <c r="E452" t="s">
        <v>150</v>
      </c>
      <c r="F452">
        <v>15</v>
      </c>
      <c r="J452">
        <f>HOUR(Table1[[#This Row],[START_DATE]])</f>
        <v>15</v>
      </c>
      <c r="K452" s="2">
        <f t="shared" si="14"/>
        <v>42537</v>
      </c>
      <c r="L452" t="str">
        <f t="shared" si="15"/>
        <v>Thursday</v>
      </c>
    </row>
    <row r="453" spans="1:12" x14ac:dyDescent="0.35">
      <c r="A453" s="1">
        <v>42537.818749999999</v>
      </c>
      <c r="B453" s="1">
        <v>42537.830555555556</v>
      </c>
      <c r="C453" t="s">
        <v>7</v>
      </c>
      <c r="D453" t="s">
        <v>150</v>
      </c>
      <c r="E453" t="s">
        <v>149</v>
      </c>
      <c r="F453">
        <v>12.9</v>
      </c>
      <c r="J453">
        <f>HOUR(Table1[[#This Row],[START_DATE]])</f>
        <v>19</v>
      </c>
      <c r="K453" s="2">
        <f t="shared" si="14"/>
        <v>42537</v>
      </c>
      <c r="L453" t="str">
        <f t="shared" si="15"/>
        <v>Thursday</v>
      </c>
    </row>
    <row r="454" spans="1:12" x14ac:dyDescent="0.35">
      <c r="A454" s="1">
        <v>42537.904861111114</v>
      </c>
      <c r="B454" s="1">
        <v>42537.913888888892</v>
      </c>
      <c r="C454" t="s">
        <v>7</v>
      </c>
      <c r="D454" t="s">
        <v>149</v>
      </c>
      <c r="E454" t="s">
        <v>150</v>
      </c>
      <c r="F454">
        <v>13.6</v>
      </c>
      <c r="J454">
        <f>HOUR(Table1[[#This Row],[START_DATE]])</f>
        <v>21</v>
      </c>
      <c r="K454" s="2">
        <f t="shared" si="14"/>
        <v>42537</v>
      </c>
      <c r="L454" t="str">
        <f t="shared" si="15"/>
        <v>Thursday</v>
      </c>
    </row>
    <row r="455" spans="1:12" x14ac:dyDescent="0.35">
      <c r="A455" s="1">
        <v>42538.674305555556</v>
      </c>
      <c r="B455" s="1">
        <v>42538.697222222225</v>
      </c>
      <c r="C455" t="s">
        <v>7</v>
      </c>
      <c r="D455" t="s">
        <v>150</v>
      </c>
      <c r="E455" t="s">
        <v>149</v>
      </c>
      <c r="F455">
        <v>12.2</v>
      </c>
      <c r="J455">
        <f>HOUR(Table1[[#This Row],[START_DATE]])</f>
        <v>16</v>
      </c>
      <c r="K455" s="2">
        <f t="shared" si="14"/>
        <v>42538</v>
      </c>
      <c r="L455" t="str">
        <f t="shared" si="15"/>
        <v>Friday</v>
      </c>
    </row>
    <row r="456" spans="1:12" x14ac:dyDescent="0.35">
      <c r="A456" s="1">
        <v>42539.020138888889</v>
      </c>
      <c r="B456" s="1">
        <v>42539.035416666666</v>
      </c>
      <c r="C456" t="s">
        <v>7</v>
      </c>
      <c r="D456" t="s">
        <v>16</v>
      </c>
      <c r="E456" t="s">
        <v>15</v>
      </c>
      <c r="F456">
        <v>8.6999999999999993</v>
      </c>
      <c r="J456">
        <f>HOUR(Table1[[#This Row],[START_DATE]])</f>
        <v>0</v>
      </c>
      <c r="K456" s="2">
        <f t="shared" si="14"/>
        <v>42539</v>
      </c>
      <c r="L456" t="str">
        <f t="shared" si="15"/>
        <v>Saturday</v>
      </c>
    </row>
    <row r="457" spans="1:12" x14ac:dyDescent="0.35">
      <c r="A457" s="1">
        <v>42540.11041666667</v>
      </c>
      <c r="B457" s="1">
        <v>42540.118055555555</v>
      </c>
      <c r="C457" t="s">
        <v>7</v>
      </c>
      <c r="D457" t="s">
        <v>15</v>
      </c>
      <c r="E457" t="s">
        <v>40</v>
      </c>
      <c r="F457">
        <v>6</v>
      </c>
      <c r="J457">
        <f>HOUR(Table1[[#This Row],[START_DATE]])</f>
        <v>2</v>
      </c>
      <c r="K457" s="2">
        <f t="shared" si="14"/>
        <v>42540</v>
      </c>
      <c r="L457" t="str">
        <f t="shared" si="15"/>
        <v>Sunday</v>
      </c>
    </row>
    <row r="458" spans="1:12" x14ac:dyDescent="0.35">
      <c r="A458" s="1">
        <v>42540.243750000001</v>
      </c>
      <c r="B458" s="1">
        <v>42540.25</v>
      </c>
      <c r="C458" t="s">
        <v>7</v>
      </c>
      <c r="D458" t="s">
        <v>40</v>
      </c>
      <c r="E458" t="s">
        <v>15</v>
      </c>
      <c r="F458">
        <v>5.9</v>
      </c>
      <c r="J458">
        <f>HOUR(Table1[[#This Row],[START_DATE]])</f>
        <v>5</v>
      </c>
      <c r="K458" s="2">
        <f t="shared" si="14"/>
        <v>42540</v>
      </c>
      <c r="L458" t="str">
        <f t="shared" si="15"/>
        <v>Sunday</v>
      </c>
    </row>
    <row r="459" spans="1:12" x14ac:dyDescent="0.35">
      <c r="A459" s="1">
        <v>42542.652083333334</v>
      </c>
      <c r="B459" s="1">
        <v>42542.672222222223</v>
      </c>
      <c r="C459" t="s">
        <v>7</v>
      </c>
      <c r="D459" t="s">
        <v>15</v>
      </c>
      <c r="E459" t="s">
        <v>40</v>
      </c>
      <c r="F459">
        <v>19.3</v>
      </c>
      <c r="J459">
        <f>HOUR(Table1[[#This Row],[START_DATE]])</f>
        <v>15</v>
      </c>
      <c r="K459" s="2">
        <f t="shared" si="14"/>
        <v>42542</v>
      </c>
      <c r="L459" t="str">
        <f t="shared" si="15"/>
        <v>Tuesday</v>
      </c>
    </row>
    <row r="460" spans="1:12" x14ac:dyDescent="0.35">
      <c r="A460" s="1">
        <v>42542.71597222222</v>
      </c>
      <c r="B460" s="1">
        <v>42542.751388888886</v>
      </c>
      <c r="C460" t="s">
        <v>7</v>
      </c>
      <c r="D460" t="s">
        <v>40</v>
      </c>
      <c r="E460" t="s">
        <v>15</v>
      </c>
      <c r="F460">
        <v>16.600000000000001</v>
      </c>
      <c r="G460" t="s">
        <v>9</v>
      </c>
      <c r="J460">
        <f>HOUR(Table1[[#This Row],[START_DATE]])</f>
        <v>17</v>
      </c>
      <c r="K460" s="2">
        <f t="shared" si="14"/>
        <v>42542</v>
      </c>
      <c r="L460" t="str">
        <f t="shared" si="15"/>
        <v>Tuesday</v>
      </c>
    </row>
    <row r="461" spans="1:12" x14ac:dyDescent="0.35">
      <c r="A461" s="1">
        <v>42545.445138888892</v>
      </c>
      <c r="B461" s="1">
        <v>42545.456250000003</v>
      </c>
      <c r="C461" t="s">
        <v>7</v>
      </c>
      <c r="D461" t="s">
        <v>38</v>
      </c>
      <c r="E461" t="s">
        <v>72</v>
      </c>
      <c r="F461">
        <v>7.1</v>
      </c>
      <c r="G461" t="s">
        <v>9</v>
      </c>
      <c r="J461">
        <f>HOUR(Table1[[#This Row],[START_DATE]])</f>
        <v>10</v>
      </c>
      <c r="K461" s="2">
        <f t="shared" si="14"/>
        <v>42545</v>
      </c>
      <c r="L461" t="str">
        <f t="shared" si="15"/>
        <v>Friday</v>
      </c>
    </row>
    <row r="462" spans="1:12" x14ac:dyDescent="0.35">
      <c r="A462" s="1">
        <v>42545.495833333334</v>
      </c>
      <c r="B462" s="1">
        <v>42545.500694444447</v>
      </c>
      <c r="C462" t="s">
        <v>7</v>
      </c>
      <c r="D462" t="s">
        <v>72</v>
      </c>
      <c r="E462" t="s">
        <v>52</v>
      </c>
      <c r="F462">
        <v>2.1</v>
      </c>
      <c r="G462" t="s">
        <v>9</v>
      </c>
      <c r="J462">
        <f>HOUR(Table1[[#This Row],[START_DATE]])</f>
        <v>11</v>
      </c>
      <c r="K462" s="2">
        <f t="shared" si="14"/>
        <v>42545</v>
      </c>
      <c r="L462" t="str">
        <f t="shared" si="15"/>
        <v>Friday</v>
      </c>
    </row>
    <row r="463" spans="1:12" x14ac:dyDescent="0.35">
      <c r="A463" s="1">
        <v>42545.513194444444</v>
      </c>
      <c r="B463" s="1">
        <v>42545.525694444441</v>
      </c>
      <c r="C463" t="s">
        <v>7</v>
      </c>
      <c r="D463" t="s">
        <v>15</v>
      </c>
      <c r="E463" t="s">
        <v>40</v>
      </c>
      <c r="F463">
        <v>8.6</v>
      </c>
      <c r="G463" t="s">
        <v>10</v>
      </c>
      <c r="J463">
        <f>HOUR(Table1[[#This Row],[START_DATE]])</f>
        <v>12</v>
      </c>
      <c r="K463" s="2">
        <f t="shared" si="14"/>
        <v>42545</v>
      </c>
      <c r="L463" t="str">
        <f t="shared" si="15"/>
        <v>Friday</v>
      </c>
    </row>
    <row r="464" spans="1:12" x14ac:dyDescent="0.35">
      <c r="A464" s="1">
        <v>42545.534722222219</v>
      </c>
      <c r="B464" s="1">
        <v>42545.55</v>
      </c>
      <c r="C464" t="s">
        <v>7</v>
      </c>
      <c r="D464" t="s">
        <v>40</v>
      </c>
      <c r="E464" t="s">
        <v>16</v>
      </c>
      <c r="F464">
        <v>9</v>
      </c>
      <c r="G464" t="s">
        <v>10</v>
      </c>
      <c r="J464">
        <f>HOUR(Table1[[#This Row],[START_DATE]])</f>
        <v>12</v>
      </c>
      <c r="K464" s="2">
        <f t="shared" si="14"/>
        <v>42545</v>
      </c>
      <c r="L464" t="str">
        <f t="shared" si="15"/>
        <v>Friday</v>
      </c>
    </row>
    <row r="465" spans="1:12" x14ac:dyDescent="0.35">
      <c r="A465" s="1">
        <v>42545.554166666669</v>
      </c>
      <c r="B465" s="1">
        <v>42545.560416666667</v>
      </c>
      <c r="C465" t="s">
        <v>7</v>
      </c>
      <c r="D465" t="s">
        <v>16</v>
      </c>
      <c r="E465" t="s">
        <v>15</v>
      </c>
      <c r="F465">
        <v>3.1</v>
      </c>
      <c r="G465" t="s">
        <v>10</v>
      </c>
      <c r="J465">
        <f>HOUR(Table1[[#This Row],[START_DATE]])</f>
        <v>13</v>
      </c>
      <c r="K465" s="2">
        <f t="shared" si="14"/>
        <v>42545</v>
      </c>
      <c r="L465" t="str">
        <f t="shared" si="15"/>
        <v>Friday</v>
      </c>
    </row>
    <row r="466" spans="1:12" x14ac:dyDescent="0.35">
      <c r="A466" s="1">
        <v>42545.584027777775</v>
      </c>
      <c r="B466" s="1">
        <v>42545.597222222219</v>
      </c>
      <c r="C466" t="s">
        <v>7</v>
      </c>
      <c r="D466" t="s">
        <v>15</v>
      </c>
      <c r="E466" t="s">
        <v>16</v>
      </c>
      <c r="F466">
        <v>8.4</v>
      </c>
      <c r="G466" t="s">
        <v>24</v>
      </c>
      <c r="J466">
        <f>HOUR(Table1[[#This Row],[START_DATE]])</f>
        <v>14</v>
      </c>
      <c r="K466" s="2">
        <f t="shared" si="14"/>
        <v>42545</v>
      </c>
      <c r="L466" t="str">
        <f t="shared" si="15"/>
        <v>Friday</v>
      </c>
    </row>
    <row r="467" spans="1:12" x14ac:dyDescent="0.35">
      <c r="A467" s="1">
        <v>42545.863888888889</v>
      </c>
      <c r="B467" s="1">
        <v>42545.876388888886</v>
      </c>
      <c r="C467" t="s">
        <v>7</v>
      </c>
      <c r="D467" t="s">
        <v>149</v>
      </c>
      <c r="E467" t="s">
        <v>150</v>
      </c>
      <c r="F467">
        <v>12.8</v>
      </c>
      <c r="J467">
        <f>HOUR(Table1[[#This Row],[START_DATE]])</f>
        <v>20</v>
      </c>
      <c r="K467" s="2">
        <f t="shared" si="14"/>
        <v>42545</v>
      </c>
      <c r="L467" t="str">
        <f t="shared" si="15"/>
        <v>Friday</v>
      </c>
    </row>
    <row r="468" spans="1:12" x14ac:dyDescent="0.35">
      <c r="A468" s="1">
        <v>42546.377083333333</v>
      </c>
      <c r="B468" s="1">
        <v>42546.383333333331</v>
      </c>
      <c r="C468" t="s">
        <v>7</v>
      </c>
      <c r="D468" t="s">
        <v>151</v>
      </c>
      <c r="E468" t="s">
        <v>157</v>
      </c>
      <c r="F468">
        <v>4.5</v>
      </c>
      <c r="J468">
        <f>HOUR(Table1[[#This Row],[START_DATE]])</f>
        <v>9</v>
      </c>
      <c r="K468" s="2">
        <f t="shared" si="14"/>
        <v>42546</v>
      </c>
      <c r="L468" t="str">
        <f t="shared" si="15"/>
        <v>Saturday</v>
      </c>
    </row>
    <row r="469" spans="1:12" x14ac:dyDescent="0.35">
      <c r="A469" s="1">
        <v>42546.385416666664</v>
      </c>
      <c r="B469" s="1">
        <v>42546.422222222223</v>
      </c>
      <c r="C469" t="s">
        <v>7</v>
      </c>
      <c r="D469" t="s">
        <v>150</v>
      </c>
      <c r="E469" t="s">
        <v>158</v>
      </c>
      <c r="F469">
        <v>11.8</v>
      </c>
      <c r="G469" t="s">
        <v>53</v>
      </c>
      <c r="J469">
        <f>HOUR(Table1[[#This Row],[START_DATE]])</f>
        <v>9</v>
      </c>
      <c r="K469" s="2">
        <f t="shared" si="14"/>
        <v>42546</v>
      </c>
      <c r="L469" t="str">
        <f t="shared" si="15"/>
        <v>Saturday</v>
      </c>
    </row>
    <row r="470" spans="1:12" x14ac:dyDescent="0.35">
      <c r="A470" s="1">
        <v>42546.429166666669</v>
      </c>
      <c r="B470" s="1">
        <v>42546.434027777781</v>
      </c>
      <c r="C470" t="s">
        <v>7</v>
      </c>
      <c r="D470" t="s">
        <v>158</v>
      </c>
      <c r="E470" t="s">
        <v>159</v>
      </c>
      <c r="F470">
        <v>1.1000000000000001</v>
      </c>
      <c r="G470" t="s">
        <v>10</v>
      </c>
      <c r="J470">
        <f>HOUR(Table1[[#This Row],[START_DATE]])</f>
        <v>10</v>
      </c>
      <c r="K470" s="2">
        <f t="shared" si="14"/>
        <v>42546</v>
      </c>
      <c r="L470" t="str">
        <f t="shared" si="15"/>
        <v>Saturday</v>
      </c>
    </row>
    <row r="471" spans="1:12" x14ac:dyDescent="0.35">
      <c r="A471" s="1">
        <v>42546.451388888891</v>
      </c>
      <c r="B471" s="1">
        <v>42546.470833333333</v>
      </c>
      <c r="C471" t="s">
        <v>7</v>
      </c>
      <c r="D471" t="s">
        <v>159</v>
      </c>
      <c r="E471" t="s">
        <v>156</v>
      </c>
      <c r="F471">
        <v>17</v>
      </c>
      <c r="G471" t="s">
        <v>9</v>
      </c>
      <c r="J471">
        <f>HOUR(Table1[[#This Row],[START_DATE]])</f>
        <v>10</v>
      </c>
      <c r="K471" s="2">
        <f t="shared" si="14"/>
        <v>42546</v>
      </c>
      <c r="L471" t="str">
        <f t="shared" si="15"/>
        <v>Saturday</v>
      </c>
    </row>
    <row r="472" spans="1:12" x14ac:dyDescent="0.35">
      <c r="A472" s="1">
        <v>42546.475694444445</v>
      </c>
      <c r="B472" s="1">
        <v>42546.481944444444</v>
      </c>
      <c r="C472" t="s">
        <v>7</v>
      </c>
      <c r="D472" t="s">
        <v>160</v>
      </c>
      <c r="E472" t="s">
        <v>160</v>
      </c>
      <c r="F472">
        <v>1.7</v>
      </c>
      <c r="G472" t="s">
        <v>11</v>
      </c>
      <c r="J472">
        <f>HOUR(Table1[[#This Row],[START_DATE]])</f>
        <v>11</v>
      </c>
      <c r="K472" s="2">
        <f t="shared" si="14"/>
        <v>42546</v>
      </c>
      <c r="L472" t="str">
        <f t="shared" si="15"/>
        <v>Saturday</v>
      </c>
    </row>
    <row r="473" spans="1:12" x14ac:dyDescent="0.35">
      <c r="A473" s="1">
        <v>42546.495138888888</v>
      </c>
      <c r="B473" s="1">
        <v>42546.556250000001</v>
      </c>
      <c r="C473" t="s">
        <v>7</v>
      </c>
      <c r="D473" t="s">
        <v>156</v>
      </c>
      <c r="E473" t="s">
        <v>150</v>
      </c>
      <c r="F473">
        <v>15.5</v>
      </c>
      <c r="G473" t="s">
        <v>11</v>
      </c>
      <c r="J473">
        <f>HOUR(Table1[[#This Row],[START_DATE]])</f>
        <v>11</v>
      </c>
      <c r="K473" s="2">
        <f t="shared" si="14"/>
        <v>42546</v>
      </c>
      <c r="L473" t="str">
        <f t="shared" si="15"/>
        <v>Saturday</v>
      </c>
    </row>
    <row r="474" spans="1:12" x14ac:dyDescent="0.35">
      <c r="A474" s="1">
        <v>42546.824305555558</v>
      </c>
      <c r="B474" s="1">
        <v>42546.831944444442</v>
      </c>
      <c r="C474" t="s">
        <v>7</v>
      </c>
      <c r="D474" t="s">
        <v>154</v>
      </c>
      <c r="E474" t="s">
        <v>161</v>
      </c>
      <c r="F474">
        <v>1.6</v>
      </c>
      <c r="J474">
        <f>HOUR(Table1[[#This Row],[START_DATE]])</f>
        <v>19</v>
      </c>
      <c r="K474" s="2">
        <f t="shared" si="14"/>
        <v>42546</v>
      </c>
      <c r="L474" t="str">
        <f t="shared" si="15"/>
        <v>Saturday</v>
      </c>
    </row>
    <row r="475" spans="1:12" x14ac:dyDescent="0.35">
      <c r="A475" s="1">
        <v>42546.97152777778</v>
      </c>
      <c r="B475" s="1">
        <v>42546.976388888892</v>
      </c>
      <c r="C475" t="s">
        <v>7</v>
      </c>
      <c r="D475" t="s">
        <v>161</v>
      </c>
      <c r="E475" t="s">
        <v>154</v>
      </c>
      <c r="F475">
        <v>1.5</v>
      </c>
      <c r="J475">
        <f>HOUR(Table1[[#This Row],[START_DATE]])</f>
        <v>23</v>
      </c>
      <c r="K475" s="2">
        <f t="shared" si="14"/>
        <v>42546</v>
      </c>
      <c r="L475" t="str">
        <f t="shared" si="15"/>
        <v>Saturday</v>
      </c>
    </row>
    <row r="476" spans="1:12" x14ac:dyDescent="0.35">
      <c r="A476" s="1">
        <v>42547.738194444442</v>
      </c>
      <c r="B476" s="1">
        <v>42547.762499999997</v>
      </c>
      <c r="C476" t="s">
        <v>7</v>
      </c>
      <c r="D476" t="s">
        <v>150</v>
      </c>
      <c r="E476" t="s">
        <v>149</v>
      </c>
      <c r="F476">
        <v>12.6</v>
      </c>
      <c r="G476" t="s">
        <v>11</v>
      </c>
      <c r="J476">
        <f>HOUR(Table1[[#This Row],[START_DATE]])</f>
        <v>17</v>
      </c>
      <c r="K476" s="2">
        <f t="shared" si="14"/>
        <v>42547</v>
      </c>
      <c r="L476" t="str">
        <f t="shared" si="15"/>
        <v>Sunday</v>
      </c>
    </row>
    <row r="477" spans="1:12" x14ac:dyDescent="0.35">
      <c r="A477" s="1">
        <v>42547.78125</v>
      </c>
      <c r="B477" s="1">
        <v>42547.8</v>
      </c>
      <c r="C477" t="s">
        <v>7</v>
      </c>
      <c r="D477" t="s">
        <v>160</v>
      </c>
      <c r="E477" t="s">
        <v>160</v>
      </c>
      <c r="F477">
        <v>4.8</v>
      </c>
      <c r="J477">
        <f>HOUR(Table1[[#This Row],[START_DATE]])</f>
        <v>18</v>
      </c>
      <c r="K477" s="2">
        <f t="shared" si="14"/>
        <v>42547</v>
      </c>
      <c r="L477" t="str">
        <f t="shared" si="15"/>
        <v>Sunday</v>
      </c>
    </row>
    <row r="478" spans="1:12" x14ac:dyDescent="0.35">
      <c r="A478" s="1">
        <v>42547.820138888892</v>
      </c>
      <c r="B478" s="1">
        <v>42547.826388888891</v>
      </c>
      <c r="C478" t="s">
        <v>7</v>
      </c>
      <c r="D478" t="s">
        <v>149</v>
      </c>
      <c r="E478" t="s">
        <v>149</v>
      </c>
      <c r="F478">
        <v>2.2000000000000002</v>
      </c>
      <c r="J478">
        <f>HOUR(Table1[[#This Row],[START_DATE]])</f>
        <v>19</v>
      </c>
      <c r="K478" s="2">
        <f t="shared" si="14"/>
        <v>42547</v>
      </c>
      <c r="L478" t="str">
        <f t="shared" si="15"/>
        <v>Sunday</v>
      </c>
    </row>
    <row r="479" spans="1:12" x14ac:dyDescent="0.35">
      <c r="A479" s="1">
        <v>42547.884722222225</v>
      </c>
      <c r="B479" s="1">
        <v>42547.904166666667</v>
      </c>
      <c r="C479" t="s">
        <v>7</v>
      </c>
      <c r="D479" t="s">
        <v>149</v>
      </c>
      <c r="E479" t="s">
        <v>150</v>
      </c>
      <c r="F479">
        <v>13</v>
      </c>
      <c r="J479">
        <f>HOUR(Table1[[#This Row],[START_DATE]])</f>
        <v>21</v>
      </c>
      <c r="K479" s="2">
        <f t="shared" si="14"/>
        <v>42547</v>
      </c>
      <c r="L479" t="str">
        <f t="shared" si="15"/>
        <v>Sunday</v>
      </c>
    </row>
    <row r="480" spans="1:12" x14ac:dyDescent="0.35">
      <c r="A480" s="1">
        <v>42548.317361111112</v>
      </c>
      <c r="B480" s="1">
        <v>42548.366666666669</v>
      </c>
      <c r="C480" t="s">
        <v>7</v>
      </c>
      <c r="D480" t="s">
        <v>150</v>
      </c>
      <c r="E480" t="s">
        <v>162</v>
      </c>
      <c r="F480">
        <v>46.9</v>
      </c>
      <c r="J480">
        <f>HOUR(Table1[[#This Row],[START_DATE]])</f>
        <v>7</v>
      </c>
      <c r="K480" s="2">
        <f t="shared" si="14"/>
        <v>42548</v>
      </c>
      <c r="L480" t="str">
        <f t="shared" si="15"/>
        <v>Monday</v>
      </c>
    </row>
    <row r="481" spans="1:12" x14ac:dyDescent="0.35">
      <c r="A481" s="1">
        <v>42548.368750000001</v>
      </c>
      <c r="B481" s="1">
        <v>42548.375</v>
      </c>
      <c r="C481" t="s">
        <v>7</v>
      </c>
      <c r="D481" t="s">
        <v>162</v>
      </c>
      <c r="E481" t="s">
        <v>162</v>
      </c>
      <c r="F481">
        <v>2.5</v>
      </c>
      <c r="J481">
        <f>HOUR(Table1[[#This Row],[START_DATE]])</f>
        <v>8</v>
      </c>
      <c r="K481" s="2">
        <f t="shared" si="14"/>
        <v>42548</v>
      </c>
      <c r="L481" t="str">
        <f t="shared" si="15"/>
        <v>Monday</v>
      </c>
    </row>
    <row r="482" spans="1:12" x14ac:dyDescent="0.35">
      <c r="A482" s="1">
        <v>42548.378472222219</v>
      </c>
      <c r="B482" s="1">
        <v>42548.397916666669</v>
      </c>
      <c r="C482" t="s">
        <v>7</v>
      </c>
      <c r="D482" t="s">
        <v>162</v>
      </c>
      <c r="E482" t="s">
        <v>162</v>
      </c>
      <c r="F482">
        <v>8.6</v>
      </c>
      <c r="J482">
        <f>HOUR(Table1[[#This Row],[START_DATE]])</f>
        <v>9</v>
      </c>
      <c r="K482" s="2">
        <f t="shared" si="14"/>
        <v>42548</v>
      </c>
      <c r="L482" t="str">
        <f t="shared" si="15"/>
        <v>Monday</v>
      </c>
    </row>
    <row r="483" spans="1:12" x14ac:dyDescent="0.35">
      <c r="A483" s="1">
        <v>42548.404861111114</v>
      </c>
      <c r="B483" s="1">
        <v>42548.422222222223</v>
      </c>
      <c r="C483" t="s">
        <v>7</v>
      </c>
      <c r="D483" t="s">
        <v>162</v>
      </c>
      <c r="E483" t="s">
        <v>162</v>
      </c>
      <c r="F483">
        <v>5.2</v>
      </c>
      <c r="J483">
        <f>HOUR(Table1[[#This Row],[START_DATE]])</f>
        <v>9</v>
      </c>
      <c r="K483" s="2">
        <f t="shared" si="14"/>
        <v>42548</v>
      </c>
      <c r="L483" t="str">
        <f t="shared" si="15"/>
        <v>Monday</v>
      </c>
    </row>
    <row r="484" spans="1:12" x14ac:dyDescent="0.35">
      <c r="A484" s="1">
        <v>42548.431944444441</v>
      </c>
      <c r="B484" s="1">
        <v>42548.443749999999</v>
      </c>
      <c r="C484" t="s">
        <v>7</v>
      </c>
      <c r="D484" t="s">
        <v>162</v>
      </c>
      <c r="E484" t="s">
        <v>162</v>
      </c>
      <c r="F484">
        <v>7.6</v>
      </c>
      <c r="J484">
        <f>HOUR(Table1[[#This Row],[START_DATE]])</f>
        <v>10</v>
      </c>
      <c r="K484" s="2">
        <f t="shared" si="14"/>
        <v>42548</v>
      </c>
      <c r="L484" t="str">
        <f t="shared" si="15"/>
        <v>Monday</v>
      </c>
    </row>
    <row r="485" spans="1:12" x14ac:dyDescent="0.35">
      <c r="A485" s="1">
        <v>42548.45208333333</v>
      </c>
      <c r="B485" s="1">
        <v>42548.456944444442</v>
      </c>
      <c r="C485" t="s">
        <v>7</v>
      </c>
      <c r="D485" t="s">
        <v>162</v>
      </c>
      <c r="E485" t="s">
        <v>162</v>
      </c>
      <c r="F485">
        <v>1.8</v>
      </c>
      <c r="J485">
        <f>HOUR(Table1[[#This Row],[START_DATE]])</f>
        <v>10</v>
      </c>
      <c r="K485" s="2">
        <f t="shared" si="14"/>
        <v>42548</v>
      </c>
      <c r="L485" t="str">
        <f t="shared" si="15"/>
        <v>Monday</v>
      </c>
    </row>
    <row r="486" spans="1:12" x14ac:dyDescent="0.35">
      <c r="A486" s="1">
        <v>42548.462500000001</v>
      </c>
      <c r="B486" s="1">
        <v>42548.474999999999</v>
      </c>
      <c r="C486" t="s">
        <v>7</v>
      </c>
      <c r="D486" t="s">
        <v>162</v>
      </c>
      <c r="E486" t="s">
        <v>163</v>
      </c>
      <c r="F486">
        <v>4.7</v>
      </c>
      <c r="J486">
        <f>HOUR(Table1[[#This Row],[START_DATE]])</f>
        <v>11</v>
      </c>
      <c r="K486" s="2">
        <f t="shared" si="14"/>
        <v>42548</v>
      </c>
      <c r="L486" t="str">
        <f t="shared" si="15"/>
        <v>Monday</v>
      </c>
    </row>
    <row r="487" spans="1:12" x14ac:dyDescent="0.35">
      <c r="A487" s="1">
        <v>42548.479166666664</v>
      </c>
      <c r="B487" s="1">
        <v>42548.487500000003</v>
      </c>
      <c r="C487" t="s">
        <v>7</v>
      </c>
      <c r="D487" t="s">
        <v>163</v>
      </c>
      <c r="E487" t="s">
        <v>163</v>
      </c>
      <c r="F487">
        <v>2.8</v>
      </c>
      <c r="J487">
        <f>HOUR(Table1[[#This Row],[START_DATE]])</f>
        <v>11</v>
      </c>
      <c r="K487" s="2">
        <f t="shared" si="14"/>
        <v>42548</v>
      </c>
      <c r="L487" t="str">
        <f t="shared" si="15"/>
        <v>Monday</v>
      </c>
    </row>
    <row r="488" spans="1:12" x14ac:dyDescent="0.35">
      <c r="A488" s="1">
        <v>42548.515277777777</v>
      </c>
      <c r="B488" s="1">
        <v>42548.543055555558</v>
      </c>
      <c r="C488" t="s">
        <v>7</v>
      </c>
      <c r="D488" t="s">
        <v>163</v>
      </c>
      <c r="E488" t="s">
        <v>156</v>
      </c>
      <c r="F488">
        <v>30</v>
      </c>
      <c r="J488">
        <f>HOUR(Table1[[#This Row],[START_DATE]])</f>
        <v>12</v>
      </c>
      <c r="K488" s="2">
        <f t="shared" si="14"/>
        <v>42548</v>
      </c>
      <c r="L488" t="str">
        <f t="shared" si="15"/>
        <v>Monday</v>
      </c>
    </row>
    <row r="489" spans="1:12" x14ac:dyDescent="0.35">
      <c r="A489" s="1">
        <v>42548.580555555556</v>
      </c>
      <c r="B489" s="1">
        <v>42548.586805555555</v>
      </c>
      <c r="C489" t="s">
        <v>7</v>
      </c>
      <c r="D489" t="s">
        <v>156</v>
      </c>
      <c r="E489" t="s">
        <v>149</v>
      </c>
      <c r="F489">
        <v>4.4000000000000004</v>
      </c>
      <c r="J489">
        <f>HOUR(Table1[[#This Row],[START_DATE]])</f>
        <v>13</v>
      </c>
      <c r="K489" s="2">
        <f t="shared" si="14"/>
        <v>42548</v>
      </c>
      <c r="L489" t="str">
        <f t="shared" si="15"/>
        <v>Monday</v>
      </c>
    </row>
    <row r="490" spans="1:12" x14ac:dyDescent="0.35">
      <c r="A490" s="1">
        <v>42548.881249999999</v>
      </c>
      <c r="B490" s="1">
        <v>42548.888194444444</v>
      </c>
      <c r="C490" t="s">
        <v>7</v>
      </c>
      <c r="D490" t="s">
        <v>35</v>
      </c>
      <c r="E490" t="s">
        <v>35</v>
      </c>
      <c r="F490">
        <v>1</v>
      </c>
      <c r="J490">
        <f>HOUR(Table1[[#This Row],[START_DATE]])</f>
        <v>21</v>
      </c>
      <c r="K490" s="2">
        <f t="shared" si="14"/>
        <v>42548</v>
      </c>
      <c r="L490" t="str">
        <f t="shared" si="15"/>
        <v>Monday</v>
      </c>
    </row>
    <row r="491" spans="1:12" x14ac:dyDescent="0.35">
      <c r="A491" s="1">
        <v>42549.033333333333</v>
      </c>
      <c r="B491" s="1">
        <v>42549.045138888891</v>
      </c>
      <c r="C491" t="s">
        <v>7</v>
      </c>
      <c r="D491" t="s">
        <v>16</v>
      </c>
      <c r="E491" t="s">
        <v>15</v>
      </c>
      <c r="F491">
        <v>8.1999999999999993</v>
      </c>
      <c r="G491" t="s">
        <v>13</v>
      </c>
      <c r="J491">
        <f>HOUR(Table1[[#This Row],[START_DATE]])</f>
        <v>0</v>
      </c>
      <c r="K491" s="2">
        <f t="shared" si="14"/>
        <v>42549</v>
      </c>
      <c r="L491" t="str">
        <f t="shared" si="15"/>
        <v>Tuesday</v>
      </c>
    </row>
    <row r="492" spans="1:12" x14ac:dyDescent="0.35">
      <c r="A492" s="1">
        <v>42549.842361111114</v>
      </c>
      <c r="B492" s="1">
        <v>42549.856249999997</v>
      </c>
      <c r="C492" t="s">
        <v>7</v>
      </c>
      <c r="D492" t="s">
        <v>15</v>
      </c>
      <c r="E492" t="s">
        <v>36</v>
      </c>
      <c r="F492">
        <v>10.4</v>
      </c>
      <c r="G492" t="s">
        <v>11</v>
      </c>
      <c r="J492">
        <f>HOUR(Table1[[#This Row],[START_DATE]])</f>
        <v>20</v>
      </c>
      <c r="K492" s="2">
        <f t="shared" si="14"/>
        <v>42549</v>
      </c>
      <c r="L492" t="str">
        <f t="shared" si="15"/>
        <v>Tuesday</v>
      </c>
    </row>
    <row r="493" spans="1:12" x14ac:dyDescent="0.35">
      <c r="A493" s="1">
        <v>42549.981944444444</v>
      </c>
      <c r="B493" s="1">
        <v>42549.999305555553</v>
      </c>
      <c r="C493" t="s">
        <v>7</v>
      </c>
      <c r="D493" t="s">
        <v>36</v>
      </c>
      <c r="E493" t="s">
        <v>15</v>
      </c>
      <c r="F493">
        <v>9.9</v>
      </c>
      <c r="G493" t="s">
        <v>11</v>
      </c>
      <c r="J493">
        <f>HOUR(Table1[[#This Row],[START_DATE]])</f>
        <v>23</v>
      </c>
      <c r="K493" s="2">
        <f t="shared" si="14"/>
        <v>42549</v>
      </c>
      <c r="L493" t="str">
        <f t="shared" si="15"/>
        <v>Tuesday</v>
      </c>
    </row>
    <row r="494" spans="1:12" x14ac:dyDescent="0.35">
      <c r="A494" s="1">
        <v>42549.981944444444</v>
      </c>
      <c r="B494" s="1">
        <v>42549.999305555553</v>
      </c>
      <c r="C494" t="s">
        <v>7</v>
      </c>
      <c r="D494" t="s">
        <v>36</v>
      </c>
      <c r="E494" t="s">
        <v>15</v>
      </c>
      <c r="F494">
        <v>9.9</v>
      </c>
      <c r="G494" t="s">
        <v>11</v>
      </c>
      <c r="J494">
        <f>HOUR(Table1[[#This Row],[START_DATE]])</f>
        <v>23</v>
      </c>
      <c r="K494" s="2">
        <f t="shared" si="14"/>
        <v>42549</v>
      </c>
      <c r="L494" t="str">
        <f t="shared" si="15"/>
        <v>Tuesday</v>
      </c>
    </row>
    <row r="495" spans="1:12" x14ac:dyDescent="0.35">
      <c r="A495" s="1">
        <v>42550.37222222222</v>
      </c>
      <c r="B495" s="1">
        <v>42550.39166666667</v>
      </c>
      <c r="C495" t="s">
        <v>7</v>
      </c>
      <c r="D495" t="s">
        <v>15</v>
      </c>
      <c r="E495" t="s">
        <v>16</v>
      </c>
      <c r="F495">
        <v>7.3</v>
      </c>
      <c r="J495">
        <f>HOUR(Table1[[#This Row],[START_DATE]])</f>
        <v>8</v>
      </c>
      <c r="K495" s="2">
        <f t="shared" si="14"/>
        <v>42550</v>
      </c>
      <c r="L495" t="str">
        <f t="shared" si="15"/>
        <v>Wednesday</v>
      </c>
    </row>
    <row r="496" spans="1:12" x14ac:dyDescent="0.35">
      <c r="A496" s="1">
        <v>42550.431944444441</v>
      </c>
      <c r="B496" s="1">
        <v>42550.443055555559</v>
      </c>
      <c r="C496" t="s">
        <v>7</v>
      </c>
      <c r="D496" t="s">
        <v>16</v>
      </c>
      <c r="E496" t="s">
        <v>15</v>
      </c>
      <c r="F496">
        <v>7.4</v>
      </c>
      <c r="J496">
        <f>HOUR(Table1[[#This Row],[START_DATE]])</f>
        <v>10</v>
      </c>
      <c r="K496" s="2">
        <f t="shared" si="14"/>
        <v>42550</v>
      </c>
      <c r="L496" t="str">
        <f t="shared" si="15"/>
        <v>Wednesday</v>
      </c>
    </row>
    <row r="497" spans="1:12" x14ac:dyDescent="0.35">
      <c r="A497" s="1">
        <v>42550.492361111108</v>
      </c>
      <c r="B497" s="1">
        <v>42550.493750000001</v>
      </c>
      <c r="C497" t="s">
        <v>7</v>
      </c>
      <c r="D497" t="s">
        <v>38</v>
      </c>
      <c r="E497" t="s">
        <v>44</v>
      </c>
      <c r="F497">
        <v>1.6</v>
      </c>
      <c r="J497">
        <f>HOUR(Table1[[#This Row],[START_DATE]])</f>
        <v>11</v>
      </c>
      <c r="K497" s="2">
        <f t="shared" si="14"/>
        <v>42550</v>
      </c>
      <c r="L497" t="str">
        <f t="shared" si="15"/>
        <v>Wednesday</v>
      </c>
    </row>
    <row r="498" spans="1:12" x14ac:dyDescent="0.35">
      <c r="A498" s="1">
        <v>42550.507638888892</v>
      </c>
      <c r="B498" s="1">
        <v>42550.511111111111</v>
      </c>
      <c r="C498" t="s">
        <v>7</v>
      </c>
      <c r="D498" t="s">
        <v>44</v>
      </c>
      <c r="E498" t="s">
        <v>38</v>
      </c>
      <c r="F498">
        <v>1.8</v>
      </c>
      <c r="J498">
        <f>HOUR(Table1[[#This Row],[START_DATE]])</f>
        <v>12</v>
      </c>
      <c r="K498" s="2">
        <f t="shared" si="14"/>
        <v>42550</v>
      </c>
      <c r="L498" t="str">
        <f t="shared" si="15"/>
        <v>Wednesday</v>
      </c>
    </row>
    <row r="499" spans="1:12" x14ac:dyDescent="0.35">
      <c r="A499" s="1">
        <v>42550.84097222222</v>
      </c>
      <c r="B499" s="1">
        <v>42550.853472222225</v>
      </c>
      <c r="C499" t="s">
        <v>7</v>
      </c>
      <c r="D499" t="s">
        <v>15</v>
      </c>
      <c r="E499" t="s">
        <v>36</v>
      </c>
      <c r="F499">
        <v>10.4</v>
      </c>
      <c r="G499" t="s">
        <v>11</v>
      </c>
      <c r="J499">
        <f>HOUR(Table1[[#This Row],[START_DATE]])</f>
        <v>20</v>
      </c>
      <c r="K499" s="2">
        <f t="shared" si="14"/>
        <v>42550</v>
      </c>
      <c r="L499" t="str">
        <f t="shared" si="15"/>
        <v>Wednesday</v>
      </c>
    </row>
    <row r="500" spans="1:12" x14ac:dyDescent="0.35">
      <c r="A500" s="1">
        <v>42550.984722222223</v>
      </c>
      <c r="B500" s="1">
        <v>42551</v>
      </c>
      <c r="C500" t="s">
        <v>7</v>
      </c>
      <c r="D500" t="s">
        <v>36</v>
      </c>
      <c r="E500" t="s">
        <v>15</v>
      </c>
      <c r="F500">
        <v>9.9</v>
      </c>
      <c r="G500" t="s">
        <v>11</v>
      </c>
      <c r="J500">
        <f>HOUR(Table1[[#This Row],[START_DATE]])</f>
        <v>23</v>
      </c>
      <c r="K500" s="2">
        <f t="shared" si="14"/>
        <v>42550</v>
      </c>
      <c r="L500" t="str">
        <f t="shared" si="15"/>
        <v>Wednesday</v>
      </c>
    </row>
    <row r="501" spans="1:12" x14ac:dyDescent="0.35">
      <c r="A501" s="1">
        <v>42551.839583333334</v>
      </c>
      <c r="B501" s="1">
        <v>42551.851388888892</v>
      </c>
      <c r="C501" t="s">
        <v>7</v>
      </c>
      <c r="D501" t="s">
        <v>15</v>
      </c>
      <c r="E501" t="s">
        <v>36</v>
      </c>
      <c r="F501">
        <v>9.9</v>
      </c>
      <c r="G501" t="s">
        <v>11</v>
      </c>
      <c r="J501">
        <f>HOUR(Table1[[#This Row],[START_DATE]])</f>
        <v>20</v>
      </c>
      <c r="K501" s="2">
        <f t="shared" si="14"/>
        <v>42551</v>
      </c>
      <c r="L501" t="str">
        <f t="shared" si="15"/>
        <v>Thursday</v>
      </c>
    </row>
    <row r="502" spans="1:12" x14ac:dyDescent="0.35">
      <c r="A502" s="1">
        <v>42552</v>
      </c>
      <c r="B502" s="1">
        <v>42552.017361111109</v>
      </c>
      <c r="C502" t="s">
        <v>7</v>
      </c>
      <c r="D502" t="s">
        <v>36</v>
      </c>
      <c r="E502" t="s">
        <v>15</v>
      </c>
      <c r="F502">
        <v>9.9</v>
      </c>
      <c r="G502" t="s">
        <v>11</v>
      </c>
      <c r="J502">
        <f>HOUR(Table1[[#This Row],[START_DATE]])</f>
        <v>0</v>
      </c>
      <c r="K502" s="2">
        <f t="shared" si="14"/>
        <v>42552</v>
      </c>
      <c r="L502" t="str">
        <f t="shared" si="15"/>
        <v>Friday</v>
      </c>
    </row>
    <row r="503" spans="1:12" x14ac:dyDescent="0.35">
      <c r="A503" s="1">
        <v>42552.398611111108</v>
      </c>
      <c r="B503" s="1">
        <v>42552.414583333331</v>
      </c>
      <c r="C503" t="s">
        <v>7</v>
      </c>
      <c r="D503" t="s">
        <v>15</v>
      </c>
      <c r="E503" t="s">
        <v>40</v>
      </c>
      <c r="F503">
        <v>13.3</v>
      </c>
      <c r="G503" t="s">
        <v>11</v>
      </c>
      <c r="J503">
        <f>HOUR(Table1[[#This Row],[START_DATE]])</f>
        <v>9</v>
      </c>
      <c r="K503" s="2">
        <f t="shared" si="14"/>
        <v>42552</v>
      </c>
      <c r="L503" t="str">
        <f t="shared" si="15"/>
        <v>Friday</v>
      </c>
    </row>
    <row r="504" spans="1:12" x14ac:dyDescent="0.35">
      <c r="A504" s="1">
        <v>42552.525000000001</v>
      </c>
      <c r="B504" s="1">
        <v>42552.541666666664</v>
      </c>
      <c r="C504" t="s">
        <v>7</v>
      </c>
      <c r="D504" t="s">
        <v>40</v>
      </c>
      <c r="E504" t="s">
        <v>15</v>
      </c>
      <c r="F504">
        <v>11.3</v>
      </c>
      <c r="G504" t="s">
        <v>11</v>
      </c>
      <c r="J504">
        <f>HOUR(Table1[[#This Row],[START_DATE]])</f>
        <v>12</v>
      </c>
      <c r="K504" s="2">
        <f t="shared" si="14"/>
        <v>42552</v>
      </c>
      <c r="L504" t="str">
        <f t="shared" si="15"/>
        <v>Friday</v>
      </c>
    </row>
    <row r="505" spans="1:12" x14ac:dyDescent="0.35">
      <c r="A505" s="1">
        <v>42552.837500000001</v>
      </c>
      <c r="B505" s="1">
        <v>42552.85</v>
      </c>
      <c r="C505" t="s">
        <v>7</v>
      </c>
      <c r="D505" t="s">
        <v>15</v>
      </c>
      <c r="E505" t="s">
        <v>36</v>
      </c>
      <c r="F505">
        <v>10.5</v>
      </c>
      <c r="G505" t="s">
        <v>11</v>
      </c>
      <c r="J505">
        <f>HOUR(Table1[[#This Row],[START_DATE]])</f>
        <v>20</v>
      </c>
      <c r="K505" s="2">
        <f t="shared" si="14"/>
        <v>42552</v>
      </c>
      <c r="L505" t="str">
        <f t="shared" si="15"/>
        <v>Friday</v>
      </c>
    </row>
    <row r="506" spans="1:12" x14ac:dyDescent="0.35">
      <c r="A506" s="1">
        <v>42552.991666666669</v>
      </c>
      <c r="B506" s="1">
        <v>42553.006249999999</v>
      </c>
      <c r="C506" t="s">
        <v>7</v>
      </c>
      <c r="D506" t="s">
        <v>36</v>
      </c>
      <c r="E506" t="s">
        <v>15</v>
      </c>
      <c r="F506">
        <v>9.9</v>
      </c>
      <c r="G506" t="s">
        <v>11</v>
      </c>
      <c r="J506">
        <f>HOUR(Table1[[#This Row],[START_DATE]])</f>
        <v>23</v>
      </c>
      <c r="K506" s="2">
        <f t="shared" si="14"/>
        <v>42552</v>
      </c>
      <c r="L506" t="str">
        <f t="shared" si="15"/>
        <v>Friday</v>
      </c>
    </row>
    <row r="507" spans="1:12" x14ac:dyDescent="0.35">
      <c r="A507" s="1">
        <v>42553.845833333333</v>
      </c>
      <c r="B507" s="1">
        <v>42553.85833333333</v>
      </c>
      <c r="C507" t="s">
        <v>7</v>
      </c>
      <c r="D507" t="s">
        <v>15</v>
      </c>
      <c r="E507" t="s">
        <v>36</v>
      </c>
      <c r="F507">
        <v>10.1</v>
      </c>
      <c r="G507" t="s">
        <v>11</v>
      </c>
      <c r="J507">
        <f>HOUR(Table1[[#This Row],[START_DATE]])</f>
        <v>20</v>
      </c>
      <c r="K507" s="2">
        <f t="shared" si="14"/>
        <v>42553</v>
      </c>
      <c r="L507" t="str">
        <f t="shared" si="15"/>
        <v>Saturday</v>
      </c>
    </row>
    <row r="508" spans="1:12" x14ac:dyDescent="0.35">
      <c r="A508" s="1">
        <v>42553.991666666669</v>
      </c>
      <c r="B508" s="1">
        <v>42554.008333333331</v>
      </c>
      <c r="C508" t="s">
        <v>7</v>
      </c>
      <c r="D508" t="s">
        <v>36</v>
      </c>
      <c r="E508" t="s">
        <v>15</v>
      </c>
      <c r="F508">
        <v>9.9</v>
      </c>
      <c r="G508" t="s">
        <v>11</v>
      </c>
      <c r="J508">
        <f>HOUR(Table1[[#This Row],[START_DATE]])</f>
        <v>23</v>
      </c>
      <c r="K508" s="2">
        <f t="shared" si="14"/>
        <v>42553</v>
      </c>
      <c r="L508" t="str">
        <f t="shared" si="15"/>
        <v>Saturday</v>
      </c>
    </row>
    <row r="509" spans="1:12" x14ac:dyDescent="0.35">
      <c r="A509" s="1">
        <v>42554.019444444442</v>
      </c>
      <c r="B509" s="1">
        <v>42554.026388888888</v>
      </c>
      <c r="C509" t="s">
        <v>7</v>
      </c>
      <c r="D509" t="s">
        <v>15</v>
      </c>
      <c r="E509" t="s">
        <v>16</v>
      </c>
      <c r="F509">
        <v>3.1</v>
      </c>
      <c r="G509" t="s">
        <v>10</v>
      </c>
      <c r="J509">
        <f>HOUR(Table1[[#This Row],[START_DATE]])</f>
        <v>0</v>
      </c>
      <c r="K509" s="2">
        <f t="shared" si="14"/>
        <v>42554</v>
      </c>
      <c r="L509" t="str">
        <f t="shared" si="15"/>
        <v>Sunday</v>
      </c>
    </row>
    <row r="510" spans="1:12" x14ac:dyDescent="0.35">
      <c r="A510" s="1">
        <v>42554.126388888886</v>
      </c>
      <c r="B510" s="1">
        <v>42554.130555555559</v>
      </c>
      <c r="C510" t="s">
        <v>7</v>
      </c>
      <c r="D510" t="s">
        <v>16</v>
      </c>
      <c r="E510" t="s">
        <v>15</v>
      </c>
      <c r="F510">
        <v>3.1</v>
      </c>
      <c r="G510" t="s">
        <v>10</v>
      </c>
      <c r="J510">
        <f>HOUR(Table1[[#This Row],[START_DATE]])</f>
        <v>3</v>
      </c>
      <c r="K510" s="2">
        <f t="shared" si="14"/>
        <v>42554</v>
      </c>
      <c r="L510" t="str">
        <f t="shared" si="15"/>
        <v>Sunday</v>
      </c>
    </row>
    <row r="511" spans="1:12" x14ac:dyDescent="0.35">
      <c r="A511" s="1">
        <v>42554.833333333336</v>
      </c>
      <c r="B511" s="1">
        <v>42554.845833333333</v>
      </c>
      <c r="C511" t="s">
        <v>7</v>
      </c>
      <c r="D511" t="s">
        <v>15</v>
      </c>
      <c r="E511" t="s">
        <v>36</v>
      </c>
      <c r="F511">
        <v>9.9</v>
      </c>
      <c r="G511" t="s">
        <v>11</v>
      </c>
      <c r="J511">
        <f>HOUR(Table1[[#This Row],[START_DATE]])</f>
        <v>20</v>
      </c>
      <c r="K511" s="2">
        <f t="shared" si="14"/>
        <v>42554</v>
      </c>
      <c r="L511" t="str">
        <f t="shared" si="15"/>
        <v>Sunday</v>
      </c>
    </row>
    <row r="512" spans="1:12" x14ac:dyDescent="0.35">
      <c r="A512" s="1">
        <v>42555.022222222222</v>
      </c>
      <c r="B512" s="1">
        <v>42555.032638888886</v>
      </c>
      <c r="C512" t="s">
        <v>7</v>
      </c>
      <c r="D512" t="s">
        <v>36</v>
      </c>
      <c r="E512" t="s">
        <v>15</v>
      </c>
      <c r="F512">
        <v>9.9</v>
      </c>
      <c r="G512" t="s">
        <v>11</v>
      </c>
      <c r="J512">
        <f>HOUR(Table1[[#This Row],[START_DATE]])</f>
        <v>0</v>
      </c>
      <c r="K512" s="2">
        <f t="shared" si="14"/>
        <v>42555</v>
      </c>
      <c r="L512" t="str">
        <f t="shared" si="15"/>
        <v>Monday</v>
      </c>
    </row>
    <row r="513" spans="1:12" x14ac:dyDescent="0.35">
      <c r="A513" s="1">
        <v>42555.729861111111</v>
      </c>
      <c r="B513" s="1">
        <v>42555.742361111108</v>
      </c>
      <c r="C513" t="s">
        <v>7</v>
      </c>
      <c r="D513" t="s">
        <v>38</v>
      </c>
      <c r="E513" t="s">
        <v>164</v>
      </c>
      <c r="F513">
        <v>8.8000000000000007</v>
      </c>
      <c r="G513" t="s">
        <v>11</v>
      </c>
      <c r="J513">
        <f>HOUR(Table1[[#This Row],[START_DATE]])</f>
        <v>17</v>
      </c>
      <c r="K513" s="2">
        <f t="shared" si="14"/>
        <v>42555</v>
      </c>
      <c r="L513" t="str">
        <f t="shared" si="15"/>
        <v>Monday</v>
      </c>
    </row>
    <row r="514" spans="1:12" x14ac:dyDescent="0.35">
      <c r="A514" s="1">
        <v>42555.765972222223</v>
      </c>
      <c r="B514" s="1">
        <v>42555.78402777778</v>
      </c>
      <c r="C514" t="s">
        <v>7</v>
      </c>
      <c r="D514" t="s">
        <v>164</v>
      </c>
      <c r="E514" t="s">
        <v>38</v>
      </c>
      <c r="F514">
        <v>8.6999999999999993</v>
      </c>
      <c r="G514" t="s">
        <v>24</v>
      </c>
      <c r="J514">
        <f>HOUR(Table1[[#This Row],[START_DATE]])</f>
        <v>18</v>
      </c>
      <c r="K514" s="2">
        <f t="shared" si="14"/>
        <v>42555</v>
      </c>
      <c r="L514" t="str">
        <f t="shared" si="15"/>
        <v>Monday</v>
      </c>
    </row>
    <row r="515" spans="1:12" x14ac:dyDescent="0.35">
      <c r="A515" s="1">
        <v>42555.833333333336</v>
      </c>
      <c r="B515" s="1">
        <v>42555.845138888886</v>
      </c>
      <c r="C515" t="s">
        <v>7</v>
      </c>
      <c r="D515" t="s">
        <v>15</v>
      </c>
      <c r="E515" t="s">
        <v>36</v>
      </c>
      <c r="F515">
        <v>11.8</v>
      </c>
      <c r="G515" t="s">
        <v>11</v>
      </c>
      <c r="J515">
        <f>HOUR(Table1[[#This Row],[START_DATE]])</f>
        <v>20</v>
      </c>
      <c r="K515" s="2">
        <f t="shared" ref="K515:K578" si="16">DATE(YEAR(A515), MONTH(A515), DAY(A515))</f>
        <v>42555</v>
      </c>
      <c r="L515" t="str">
        <f t="shared" ref="L515:L578" si="17">TEXT(A515,"dddd")</f>
        <v>Monday</v>
      </c>
    </row>
    <row r="516" spans="1:12" x14ac:dyDescent="0.35">
      <c r="A516" s="1">
        <v>42556</v>
      </c>
      <c r="B516" s="1">
        <v>42556.003472222219</v>
      </c>
      <c r="C516" t="s">
        <v>7</v>
      </c>
      <c r="D516" t="s">
        <v>165</v>
      </c>
      <c r="E516" t="s">
        <v>165</v>
      </c>
      <c r="F516">
        <v>1.2</v>
      </c>
      <c r="G516" t="s">
        <v>10</v>
      </c>
      <c r="J516">
        <f>HOUR(Table1[[#This Row],[START_DATE]])</f>
        <v>0</v>
      </c>
      <c r="K516" s="2">
        <f t="shared" si="16"/>
        <v>42556</v>
      </c>
      <c r="L516" t="str">
        <f t="shared" si="17"/>
        <v>Tuesday</v>
      </c>
    </row>
    <row r="517" spans="1:12" x14ac:dyDescent="0.35">
      <c r="A517" s="1">
        <v>42556.005555555559</v>
      </c>
      <c r="B517" s="1">
        <v>42556.019444444442</v>
      </c>
      <c r="C517" t="s">
        <v>7</v>
      </c>
      <c r="D517" t="s">
        <v>36</v>
      </c>
      <c r="E517" t="s">
        <v>15</v>
      </c>
      <c r="F517">
        <v>9.9</v>
      </c>
      <c r="G517" t="s">
        <v>11</v>
      </c>
      <c r="J517">
        <f>HOUR(Table1[[#This Row],[START_DATE]])</f>
        <v>0</v>
      </c>
      <c r="K517" s="2">
        <f t="shared" si="16"/>
        <v>42556</v>
      </c>
      <c r="L517" t="str">
        <f t="shared" si="17"/>
        <v>Tuesday</v>
      </c>
    </row>
    <row r="518" spans="1:12" x14ac:dyDescent="0.35">
      <c r="A518" s="1">
        <v>42556.7</v>
      </c>
      <c r="B518" s="1">
        <v>42556.702777777777</v>
      </c>
      <c r="C518" t="s">
        <v>7</v>
      </c>
      <c r="D518" t="s">
        <v>38</v>
      </c>
      <c r="E518" t="s">
        <v>38</v>
      </c>
      <c r="F518">
        <v>0.6</v>
      </c>
      <c r="G518" t="s">
        <v>10</v>
      </c>
      <c r="J518">
        <f>HOUR(Table1[[#This Row],[START_DATE]])</f>
        <v>16</v>
      </c>
      <c r="K518" s="2">
        <f t="shared" si="16"/>
        <v>42556</v>
      </c>
      <c r="L518" t="str">
        <f t="shared" si="17"/>
        <v>Tuesday</v>
      </c>
    </row>
    <row r="519" spans="1:12" x14ac:dyDescent="0.35">
      <c r="A519" s="1">
        <v>42556.837500000001</v>
      </c>
      <c r="B519" s="1">
        <v>42556.851388888892</v>
      </c>
      <c r="C519" t="s">
        <v>7</v>
      </c>
      <c r="D519" t="s">
        <v>15</v>
      </c>
      <c r="E519" t="s">
        <v>36</v>
      </c>
      <c r="F519">
        <v>9.9</v>
      </c>
      <c r="J519">
        <f>HOUR(Table1[[#This Row],[START_DATE]])</f>
        <v>20</v>
      </c>
      <c r="K519" s="2">
        <f t="shared" si="16"/>
        <v>42556</v>
      </c>
      <c r="L519" t="str">
        <f t="shared" si="17"/>
        <v>Tuesday</v>
      </c>
    </row>
    <row r="520" spans="1:12" x14ac:dyDescent="0.35">
      <c r="A520" s="1">
        <v>42556.945138888892</v>
      </c>
      <c r="B520" s="1">
        <v>42556.959722222222</v>
      </c>
      <c r="C520" t="s">
        <v>7</v>
      </c>
      <c r="D520" t="s">
        <v>36</v>
      </c>
      <c r="E520" t="s">
        <v>16</v>
      </c>
      <c r="F520">
        <v>8.6</v>
      </c>
      <c r="J520">
        <f>HOUR(Table1[[#This Row],[START_DATE]])</f>
        <v>22</v>
      </c>
      <c r="K520" s="2">
        <f t="shared" si="16"/>
        <v>42556</v>
      </c>
      <c r="L520" t="str">
        <f t="shared" si="17"/>
        <v>Tuesday</v>
      </c>
    </row>
    <row r="521" spans="1:12" x14ac:dyDescent="0.35">
      <c r="A521" s="1">
        <v>42557.022916666669</v>
      </c>
      <c r="B521" s="1">
        <v>42557.036805555559</v>
      </c>
      <c r="C521" t="s">
        <v>7</v>
      </c>
      <c r="D521" t="s">
        <v>16</v>
      </c>
      <c r="E521" t="s">
        <v>15</v>
      </c>
      <c r="F521">
        <v>6.3</v>
      </c>
      <c r="G521" t="s">
        <v>9</v>
      </c>
      <c r="J521">
        <f>HOUR(Table1[[#This Row],[START_DATE]])</f>
        <v>0</v>
      </c>
      <c r="K521" s="2">
        <f t="shared" si="16"/>
        <v>42557</v>
      </c>
      <c r="L521" t="str">
        <f t="shared" si="17"/>
        <v>Wednesday</v>
      </c>
    </row>
    <row r="522" spans="1:12" x14ac:dyDescent="0.35">
      <c r="A522" s="1">
        <v>42557.379166666666</v>
      </c>
      <c r="B522" s="1">
        <v>42557.392361111109</v>
      </c>
      <c r="C522" t="s">
        <v>7</v>
      </c>
      <c r="D522" t="s">
        <v>15</v>
      </c>
      <c r="E522" t="s">
        <v>36</v>
      </c>
      <c r="F522">
        <v>9.9</v>
      </c>
      <c r="G522" t="s">
        <v>11</v>
      </c>
      <c r="J522">
        <f>HOUR(Table1[[#This Row],[START_DATE]])</f>
        <v>9</v>
      </c>
      <c r="K522" s="2">
        <f t="shared" si="16"/>
        <v>42557</v>
      </c>
      <c r="L522" t="str">
        <f t="shared" si="17"/>
        <v>Wednesday</v>
      </c>
    </row>
    <row r="523" spans="1:12" x14ac:dyDescent="0.35">
      <c r="A523" s="1">
        <v>42557.533333333333</v>
      </c>
      <c r="B523" s="1">
        <v>42557.547222222223</v>
      </c>
      <c r="C523" t="s">
        <v>7</v>
      </c>
      <c r="D523" t="s">
        <v>36</v>
      </c>
      <c r="E523" t="s">
        <v>15</v>
      </c>
      <c r="F523">
        <v>9.9</v>
      </c>
      <c r="J523">
        <f>HOUR(Table1[[#This Row],[START_DATE]])</f>
        <v>12</v>
      </c>
      <c r="K523" s="2">
        <f t="shared" si="16"/>
        <v>42557</v>
      </c>
      <c r="L523" t="str">
        <f t="shared" si="17"/>
        <v>Wednesday</v>
      </c>
    </row>
    <row r="524" spans="1:12" x14ac:dyDescent="0.35">
      <c r="A524" s="1">
        <v>42557.836111111108</v>
      </c>
      <c r="B524" s="1">
        <v>42557.843055555553</v>
      </c>
      <c r="C524" t="s">
        <v>7</v>
      </c>
      <c r="D524" t="s">
        <v>15</v>
      </c>
      <c r="E524" t="s">
        <v>16</v>
      </c>
      <c r="F524">
        <v>3.3</v>
      </c>
      <c r="G524" t="s">
        <v>9</v>
      </c>
      <c r="J524">
        <f>HOUR(Table1[[#This Row],[START_DATE]])</f>
        <v>20</v>
      </c>
      <c r="K524" s="2">
        <f t="shared" si="16"/>
        <v>42557</v>
      </c>
      <c r="L524" t="str">
        <f t="shared" si="17"/>
        <v>Wednesday</v>
      </c>
    </row>
    <row r="525" spans="1:12" x14ac:dyDescent="0.35">
      <c r="A525" s="1">
        <v>42557.990277777775</v>
      </c>
      <c r="B525" s="1">
        <v>42557.999305555553</v>
      </c>
      <c r="C525" t="s">
        <v>7</v>
      </c>
      <c r="D525" t="s">
        <v>16</v>
      </c>
      <c r="E525" t="s">
        <v>15</v>
      </c>
      <c r="F525">
        <v>3.1</v>
      </c>
      <c r="G525" t="s">
        <v>13</v>
      </c>
      <c r="J525">
        <f>HOUR(Table1[[#This Row],[START_DATE]])</f>
        <v>23</v>
      </c>
      <c r="K525" s="2">
        <f t="shared" si="16"/>
        <v>42557</v>
      </c>
      <c r="L525" t="str">
        <f t="shared" si="17"/>
        <v>Wednesday</v>
      </c>
    </row>
    <row r="526" spans="1:12" x14ac:dyDescent="0.35">
      <c r="A526" s="1">
        <v>42558.348611111112</v>
      </c>
      <c r="B526" s="1">
        <v>42558.368055555555</v>
      </c>
      <c r="C526" t="s">
        <v>7</v>
      </c>
      <c r="D526" t="s">
        <v>15</v>
      </c>
      <c r="E526" t="s">
        <v>16</v>
      </c>
      <c r="F526">
        <v>7.9</v>
      </c>
      <c r="G526" t="s">
        <v>24</v>
      </c>
      <c r="J526">
        <f>HOUR(Table1[[#This Row],[START_DATE]])</f>
        <v>8</v>
      </c>
      <c r="K526" s="2">
        <f t="shared" si="16"/>
        <v>42558</v>
      </c>
      <c r="L526" t="str">
        <f t="shared" si="17"/>
        <v>Thursday</v>
      </c>
    </row>
    <row r="527" spans="1:12" x14ac:dyDescent="0.35">
      <c r="A527" s="1">
        <v>42558.435416666667</v>
      </c>
      <c r="B527" s="1">
        <v>42558.439583333333</v>
      </c>
      <c r="C527" t="s">
        <v>7</v>
      </c>
      <c r="D527" t="s">
        <v>16</v>
      </c>
      <c r="E527" t="s">
        <v>15</v>
      </c>
      <c r="F527">
        <v>8.9</v>
      </c>
      <c r="J527">
        <f>HOUR(Table1[[#This Row],[START_DATE]])</f>
        <v>10</v>
      </c>
      <c r="K527" s="2">
        <f t="shared" si="16"/>
        <v>42558</v>
      </c>
      <c r="L527" t="str">
        <f t="shared" si="17"/>
        <v>Thursday</v>
      </c>
    </row>
    <row r="528" spans="1:12" x14ac:dyDescent="0.35">
      <c r="A528" s="1">
        <v>42558.540972222225</v>
      </c>
      <c r="B528" s="1">
        <v>42558.565972222219</v>
      </c>
      <c r="C528" t="s">
        <v>7</v>
      </c>
      <c r="D528" t="s">
        <v>149</v>
      </c>
      <c r="E528" t="s">
        <v>150</v>
      </c>
      <c r="F528">
        <v>12.8</v>
      </c>
      <c r="J528">
        <f>HOUR(Table1[[#This Row],[START_DATE]])</f>
        <v>12</v>
      </c>
      <c r="K528" s="2">
        <f t="shared" si="16"/>
        <v>42558</v>
      </c>
      <c r="L528" t="str">
        <f t="shared" si="17"/>
        <v>Thursday</v>
      </c>
    </row>
    <row r="529" spans="1:12" x14ac:dyDescent="0.35">
      <c r="A529" s="1">
        <v>42559.409722222219</v>
      </c>
      <c r="B529" s="1">
        <v>42559.425694444442</v>
      </c>
      <c r="C529" t="s">
        <v>7</v>
      </c>
      <c r="D529" t="s">
        <v>151</v>
      </c>
      <c r="E529" t="s">
        <v>166</v>
      </c>
      <c r="F529">
        <v>7.7</v>
      </c>
      <c r="J529">
        <f>HOUR(Table1[[#This Row],[START_DATE]])</f>
        <v>9</v>
      </c>
      <c r="K529" s="2">
        <f t="shared" si="16"/>
        <v>42559</v>
      </c>
      <c r="L529" t="str">
        <f t="shared" si="17"/>
        <v>Friday</v>
      </c>
    </row>
    <row r="530" spans="1:12" x14ac:dyDescent="0.35">
      <c r="A530" s="1">
        <v>42559.45208333333</v>
      </c>
      <c r="B530" s="1">
        <v>42559.466666666667</v>
      </c>
      <c r="C530" t="s">
        <v>7</v>
      </c>
      <c r="D530" t="s">
        <v>166</v>
      </c>
      <c r="E530" t="s">
        <v>151</v>
      </c>
      <c r="F530">
        <v>7</v>
      </c>
      <c r="J530">
        <f>HOUR(Table1[[#This Row],[START_DATE]])</f>
        <v>10</v>
      </c>
      <c r="K530" s="2">
        <f t="shared" si="16"/>
        <v>42559</v>
      </c>
      <c r="L530" t="str">
        <f t="shared" si="17"/>
        <v>Friday</v>
      </c>
    </row>
    <row r="531" spans="1:12" x14ac:dyDescent="0.35">
      <c r="A531" s="1">
        <v>42559.574999999997</v>
      </c>
      <c r="B531" s="1">
        <v>42559.59097222222</v>
      </c>
      <c r="C531" t="s">
        <v>7</v>
      </c>
      <c r="D531" t="s">
        <v>150</v>
      </c>
      <c r="E531" t="s">
        <v>156</v>
      </c>
      <c r="F531">
        <v>12.5</v>
      </c>
      <c r="J531">
        <f>HOUR(Table1[[#This Row],[START_DATE]])</f>
        <v>13</v>
      </c>
      <c r="K531" s="2">
        <f t="shared" si="16"/>
        <v>42559</v>
      </c>
      <c r="L531" t="str">
        <f t="shared" si="17"/>
        <v>Friday</v>
      </c>
    </row>
    <row r="532" spans="1:12" x14ac:dyDescent="0.35">
      <c r="A532" s="1">
        <v>42559.71597222222</v>
      </c>
      <c r="B532" s="1">
        <v>42559.729166666664</v>
      </c>
      <c r="C532" t="s">
        <v>7</v>
      </c>
      <c r="D532" t="s">
        <v>149</v>
      </c>
      <c r="E532" t="s">
        <v>150</v>
      </c>
      <c r="F532">
        <v>13.2</v>
      </c>
      <c r="J532">
        <f>HOUR(Table1[[#This Row],[START_DATE]])</f>
        <v>17</v>
      </c>
      <c r="K532" s="2">
        <f t="shared" si="16"/>
        <v>42559</v>
      </c>
      <c r="L532" t="str">
        <f t="shared" si="17"/>
        <v>Friday</v>
      </c>
    </row>
    <row r="533" spans="1:12" x14ac:dyDescent="0.35">
      <c r="A533" s="1">
        <v>42560.377083333333</v>
      </c>
      <c r="B533" s="1">
        <v>42560.406944444447</v>
      </c>
      <c r="C533" t="s">
        <v>7</v>
      </c>
      <c r="D533" t="s">
        <v>150</v>
      </c>
      <c r="E533" t="s">
        <v>149</v>
      </c>
      <c r="F533">
        <v>13</v>
      </c>
      <c r="J533">
        <f>HOUR(Table1[[#This Row],[START_DATE]])</f>
        <v>9</v>
      </c>
      <c r="K533" s="2">
        <f t="shared" si="16"/>
        <v>42560</v>
      </c>
      <c r="L533" t="str">
        <f t="shared" si="17"/>
        <v>Saturday</v>
      </c>
    </row>
    <row r="534" spans="1:12" x14ac:dyDescent="0.35">
      <c r="A534" s="1">
        <v>42560.411111111112</v>
      </c>
      <c r="B534" s="1">
        <v>42560.42083333333</v>
      </c>
      <c r="C534" t="s">
        <v>7</v>
      </c>
      <c r="D534" t="s">
        <v>149</v>
      </c>
      <c r="E534" t="s">
        <v>156</v>
      </c>
      <c r="F534">
        <v>4.9000000000000004</v>
      </c>
      <c r="J534">
        <f>HOUR(Table1[[#This Row],[START_DATE]])</f>
        <v>9</v>
      </c>
      <c r="K534" s="2">
        <f t="shared" si="16"/>
        <v>42560</v>
      </c>
      <c r="L534" t="str">
        <f t="shared" si="17"/>
        <v>Saturday</v>
      </c>
    </row>
    <row r="535" spans="1:12" x14ac:dyDescent="0.35">
      <c r="A535" s="1">
        <v>42560.427083333336</v>
      </c>
      <c r="B535" s="1">
        <v>42560.439583333333</v>
      </c>
      <c r="C535" t="s">
        <v>7</v>
      </c>
      <c r="D535" t="s">
        <v>156</v>
      </c>
      <c r="E535" t="s">
        <v>150</v>
      </c>
      <c r="F535">
        <v>8.5</v>
      </c>
      <c r="J535">
        <f>HOUR(Table1[[#This Row],[START_DATE]])</f>
        <v>10</v>
      </c>
      <c r="K535" s="2">
        <f t="shared" si="16"/>
        <v>42560</v>
      </c>
      <c r="L535" t="str">
        <f t="shared" si="17"/>
        <v>Saturday</v>
      </c>
    </row>
    <row r="536" spans="1:12" x14ac:dyDescent="0.35">
      <c r="A536" s="1">
        <v>42561.590277777781</v>
      </c>
      <c r="B536" s="1">
        <v>42561.595138888886</v>
      </c>
      <c r="C536" t="s">
        <v>7</v>
      </c>
      <c r="D536" t="s">
        <v>151</v>
      </c>
      <c r="E536" t="s">
        <v>167</v>
      </c>
      <c r="F536">
        <v>1.3</v>
      </c>
      <c r="J536">
        <f>HOUR(Table1[[#This Row],[START_DATE]])</f>
        <v>14</v>
      </c>
      <c r="K536" s="2">
        <f t="shared" si="16"/>
        <v>42561</v>
      </c>
      <c r="L536" t="str">
        <f t="shared" si="17"/>
        <v>Sunday</v>
      </c>
    </row>
    <row r="537" spans="1:12" x14ac:dyDescent="0.35">
      <c r="A537" s="1">
        <v>42561.669444444444</v>
      </c>
      <c r="B537" s="1">
        <v>42561.677083333336</v>
      </c>
      <c r="C537" t="s">
        <v>7</v>
      </c>
      <c r="D537" t="s">
        <v>167</v>
      </c>
      <c r="E537" t="s">
        <v>151</v>
      </c>
      <c r="F537">
        <v>1.8</v>
      </c>
      <c r="J537">
        <f>HOUR(Table1[[#This Row],[START_DATE]])</f>
        <v>16</v>
      </c>
      <c r="K537" s="2">
        <f t="shared" si="16"/>
        <v>42561</v>
      </c>
      <c r="L537" t="str">
        <f t="shared" si="17"/>
        <v>Sunday</v>
      </c>
    </row>
    <row r="538" spans="1:12" x14ac:dyDescent="0.35">
      <c r="A538" s="1">
        <v>42561.753472222219</v>
      </c>
      <c r="B538" s="1">
        <v>42561.76458333333</v>
      </c>
      <c r="C538" t="s">
        <v>7</v>
      </c>
      <c r="D538" t="s">
        <v>150</v>
      </c>
      <c r="E538" t="s">
        <v>149</v>
      </c>
      <c r="F538">
        <v>13.6</v>
      </c>
      <c r="J538">
        <f>HOUR(Table1[[#This Row],[START_DATE]])</f>
        <v>18</v>
      </c>
      <c r="K538" s="2">
        <f t="shared" si="16"/>
        <v>42561</v>
      </c>
      <c r="L538" t="str">
        <f t="shared" si="17"/>
        <v>Sunday</v>
      </c>
    </row>
    <row r="539" spans="1:12" x14ac:dyDescent="0.35">
      <c r="A539" s="1">
        <v>42561.82708333333</v>
      </c>
      <c r="B539" s="1">
        <v>42561.838888888888</v>
      </c>
      <c r="C539" t="s">
        <v>7</v>
      </c>
      <c r="D539" t="s">
        <v>149</v>
      </c>
      <c r="E539" t="s">
        <v>150</v>
      </c>
      <c r="F539">
        <v>13.4</v>
      </c>
      <c r="J539">
        <f>HOUR(Table1[[#This Row],[START_DATE]])</f>
        <v>19</v>
      </c>
      <c r="K539" s="2">
        <f t="shared" si="16"/>
        <v>42561</v>
      </c>
      <c r="L539" t="str">
        <f t="shared" si="17"/>
        <v>Sunday</v>
      </c>
    </row>
    <row r="540" spans="1:12" x14ac:dyDescent="0.35">
      <c r="A540" s="1">
        <v>42563.673611111109</v>
      </c>
      <c r="B540" s="1">
        <v>42563.697916666664</v>
      </c>
      <c r="C540" t="s">
        <v>7</v>
      </c>
      <c r="D540" t="s">
        <v>150</v>
      </c>
      <c r="E540" t="s">
        <v>149</v>
      </c>
      <c r="F540">
        <v>12.3</v>
      </c>
      <c r="J540">
        <f>HOUR(Table1[[#This Row],[START_DATE]])</f>
        <v>16</v>
      </c>
      <c r="K540" s="2">
        <f t="shared" si="16"/>
        <v>42563</v>
      </c>
      <c r="L540" t="str">
        <f t="shared" si="17"/>
        <v>Tuesday</v>
      </c>
    </row>
    <row r="541" spans="1:12" x14ac:dyDescent="0.35">
      <c r="A541" s="1">
        <v>42563.806250000001</v>
      </c>
      <c r="B541" s="1">
        <v>42563.80972222222</v>
      </c>
      <c r="C541" t="s">
        <v>55</v>
      </c>
      <c r="D541" t="s">
        <v>149</v>
      </c>
      <c r="E541" t="s">
        <v>149</v>
      </c>
      <c r="F541">
        <v>1.4</v>
      </c>
      <c r="J541">
        <f>HOUR(Table1[[#This Row],[START_DATE]])</f>
        <v>19</v>
      </c>
      <c r="K541" s="2">
        <f t="shared" si="16"/>
        <v>42563</v>
      </c>
      <c r="L541" t="str">
        <f t="shared" si="17"/>
        <v>Tuesday</v>
      </c>
    </row>
    <row r="542" spans="1:12" x14ac:dyDescent="0.35">
      <c r="A542" s="1">
        <v>42563.990972222222</v>
      </c>
      <c r="B542" s="1">
        <v>42564.007638888892</v>
      </c>
      <c r="C542" t="s">
        <v>55</v>
      </c>
      <c r="D542" t="s">
        <v>16</v>
      </c>
      <c r="E542" t="s">
        <v>15</v>
      </c>
      <c r="F542">
        <v>8.6999999999999993</v>
      </c>
      <c r="J542">
        <f>HOUR(Table1[[#This Row],[START_DATE]])</f>
        <v>23</v>
      </c>
      <c r="K542" s="2">
        <f t="shared" si="16"/>
        <v>42563</v>
      </c>
      <c r="L542" t="str">
        <f t="shared" si="17"/>
        <v>Tuesday</v>
      </c>
    </row>
    <row r="543" spans="1:12" x14ac:dyDescent="0.35">
      <c r="A543" s="1">
        <v>42564.527083333334</v>
      </c>
      <c r="B543" s="1">
        <v>42564.555555555555</v>
      </c>
      <c r="C543" t="s">
        <v>55</v>
      </c>
      <c r="D543" t="s">
        <v>15</v>
      </c>
      <c r="E543" t="s">
        <v>16</v>
      </c>
      <c r="F543">
        <v>23.5</v>
      </c>
      <c r="J543">
        <f>HOUR(Table1[[#This Row],[START_DATE]])</f>
        <v>12</v>
      </c>
      <c r="K543" s="2">
        <f t="shared" si="16"/>
        <v>42564</v>
      </c>
      <c r="L543" t="str">
        <f t="shared" si="17"/>
        <v>Wednesday</v>
      </c>
    </row>
    <row r="544" spans="1:12" x14ac:dyDescent="0.35">
      <c r="A544" s="1">
        <v>42564.559027777781</v>
      </c>
      <c r="B544" s="1">
        <v>42564.568749999999</v>
      </c>
      <c r="C544" t="s">
        <v>55</v>
      </c>
      <c r="D544" t="s">
        <v>16</v>
      </c>
      <c r="E544" t="s">
        <v>16</v>
      </c>
      <c r="F544">
        <v>2.2000000000000002</v>
      </c>
      <c r="J544">
        <f>HOUR(Table1[[#This Row],[START_DATE]])</f>
        <v>13</v>
      </c>
      <c r="K544" s="2">
        <f t="shared" si="16"/>
        <v>42564</v>
      </c>
      <c r="L544" t="str">
        <f t="shared" si="17"/>
        <v>Wednesday</v>
      </c>
    </row>
    <row r="545" spans="1:12" x14ac:dyDescent="0.35">
      <c r="A545" s="1">
        <v>42564.570833333331</v>
      </c>
      <c r="B545" s="1">
        <v>42564.57916666667</v>
      </c>
      <c r="C545" t="s">
        <v>55</v>
      </c>
      <c r="D545" t="s">
        <v>16</v>
      </c>
      <c r="E545" t="s">
        <v>15</v>
      </c>
      <c r="F545">
        <v>4.4000000000000004</v>
      </c>
      <c r="J545">
        <f>HOUR(Table1[[#This Row],[START_DATE]])</f>
        <v>13</v>
      </c>
      <c r="K545" s="2">
        <f t="shared" si="16"/>
        <v>42564</v>
      </c>
      <c r="L545" t="str">
        <f t="shared" si="17"/>
        <v>Wednesday</v>
      </c>
    </row>
    <row r="546" spans="1:12" x14ac:dyDescent="0.35">
      <c r="A546" s="1">
        <v>42565.660416666666</v>
      </c>
      <c r="B546" s="1">
        <v>42565.665972222225</v>
      </c>
      <c r="C546" t="s">
        <v>55</v>
      </c>
      <c r="D546" t="s">
        <v>15</v>
      </c>
      <c r="E546" t="s">
        <v>16</v>
      </c>
      <c r="F546">
        <v>3.3</v>
      </c>
      <c r="J546">
        <f>HOUR(Table1[[#This Row],[START_DATE]])</f>
        <v>15</v>
      </c>
      <c r="K546" s="2">
        <f t="shared" si="16"/>
        <v>42565</v>
      </c>
      <c r="L546" t="str">
        <f t="shared" si="17"/>
        <v>Thursday</v>
      </c>
    </row>
    <row r="547" spans="1:12" x14ac:dyDescent="0.35">
      <c r="A547" s="1">
        <v>42565.668749999997</v>
      </c>
      <c r="B547" s="1">
        <v>42565.69027777778</v>
      </c>
      <c r="C547" t="s">
        <v>7</v>
      </c>
      <c r="D547" t="s">
        <v>16</v>
      </c>
      <c r="E547" t="s">
        <v>16</v>
      </c>
      <c r="F547">
        <v>11.8</v>
      </c>
      <c r="G547" t="s">
        <v>10</v>
      </c>
      <c r="J547">
        <f>HOUR(Table1[[#This Row],[START_DATE]])</f>
        <v>16</v>
      </c>
      <c r="K547" s="2">
        <f t="shared" si="16"/>
        <v>42565</v>
      </c>
      <c r="L547" t="str">
        <f t="shared" si="17"/>
        <v>Thursday</v>
      </c>
    </row>
    <row r="548" spans="1:12" x14ac:dyDescent="0.35">
      <c r="A548" s="1">
        <v>42565.693749999999</v>
      </c>
      <c r="B548" s="1">
        <v>42565.836805555555</v>
      </c>
      <c r="C548" t="s">
        <v>7</v>
      </c>
      <c r="D548" t="s">
        <v>16</v>
      </c>
      <c r="E548" t="s">
        <v>168</v>
      </c>
      <c r="F548">
        <v>195.3</v>
      </c>
      <c r="J548">
        <f>HOUR(Table1[[#This Row],[START_DATE]])</f>
        <v>16</v>
      </c>
      <c r="K548" s="2">
        <f t="shared" si="16"/>
        <v>42565</v>
      </c>
      <c r="L548" t="str">
        <f t="shared" si="17"/>
        <v>Thursday</v>
      </c>
    </row>
    <row r="549" spans="1:12" x14ac:dyDescent="0.35">
      <c r="A549" s="1">
        <v>42566.480555555558</v>
      </c>
      <c r="B549" s="1">
        <v>42566.495138888888</v>
      </c>
      <c r="C549" t="s">
        <v>55</v>
      </c>
      <c r="D549" t="s">
        <v>168</v>
      </c>
      <c r="E549" t="s">
        <v>168</v>
      </c>
      <c r="F549">
        <v>8.3000000000000007</v>
      </c>
      <c r="J549">
        <f>HOUR(Table1[[#This Row],[START_DATE]])</f>
        <v>11</v>
      </c>
      <c r="K549" s="2">
        <f t="shared" si="16"/>
        <v>42566</v>
      </c>
      <c r="L549" t="str">
        <f t="shared" si="17"/>
        <v>Friday</v>
      </c>
    </row>
    <row r="550" spans="1:12" x14ac:dyDescent="0.35">
      <c r="A550" s="1">
        <v>42566.506249999999</v>
      </c>
      <c r="B550" s="1">
        <v>42566.513194444444</v>
      </c>
      <c r="C550" t="s">
        <v>55</v>
      </c>
      <c r="D550" t="s">
        <v>168</v>
      </c>
      <c r="E550" t="s">
        <v>168</v>
      </c>
      <c r="F550">
        <v>3.2</v>
      </c>
      <c r="J550">
        <f>HOUR(Table1[[#This Row],[START_DATE]])</f>
        <v>12</v>
      </c>
      <c r="K550" s="2">
        <f t="shared" si="16"/>
        <v>42566</v>
      </c>
      <c r="L550" t="str">
        <f t="shared" si="17"/>
        <v>Friday</v>
      </c>
    </row>
    <row r="551" spans="1:12" x14ac:dyDescent="0.35">
      <c r="A551" s="1">
        <v>42566.524305555555</v>
      </c>
      <c r="B551" s="1">
        <v>42566.552083333336</v>
      </c>
      <c r="C551" t="s">
        <v>55</v>
      </c>
      <c r="D551" t="s">
        <v>168</v>
      </c>
      <c r="E551" t="s">
        <v>169</v>
      </c>
      <c r="F551">
        <v>22.4</v>
      </c>
      <c r="J551">
        <f>HOUR(Table1[[#This Row],[START_DATE]])</f>
        <v>12</v>
      </c>
      <c r="K551" s="2">
        <f t="shared" si="16"/>
        <v>42566</v>
      </c>
      <c r="L551" t="str">
        <f t="shared" si="17"/>
        <v>Friday</v>
      </c>
    </row>
    <row r="552" spans="1:12" x14ac:dyDescent="0.35">
      <c r="A552" s="1">
        <v>42566.627083333333</v>
      </c>
      <c r="B552" s="1">
        <v>42566.647916666669</v>
      </c>
      <c r="C552" t="s">
        <v>55</v>
      </c>
      <c r="D552" t="s">
        <v>169</v>
      </c>
      <c r="E552" t="s">
        <v>168</v>
      </c>
      <c r="F552">
        <v>12.2</v>
      </c>
      <c r="J552">
        <f>HOUR(Table1[[#This Row],[START_DATE]])</f>
        <v>15</v>
      </c>
      <c r="K552" s="2">
        <f t="shared" si="16"/>
        <v>42566</v>
      </c>
      <c r="L552" t="str">
        <f t="shared" si="17"/>
        <v>Friday</v>
      </c>
    </row>
    <row r="553" spans="1:12" x14ac:dyDescent="0.35">
      <c r="A553" s="1">
        <v>42566.652777777781</v>
      </c>
      <c r="B553" s="1">
        <v>42566.661111111112</v>
      </c>
      <c r="C553" t="s">
        <v>55</v>
      </c>
      <c r="D553" t="s">
        <v>168</v>
      </c>
      <c r="E553" t="s">
        <v>168</v>
      </c>
      <c r="F553">
        <v>4.5</v>
      </c>
      <c r="J553">
        <f>HOUR(Table1[[#This Row],[START_DATE]])</f>
        <v>15</v>
      </c>
      <c r="K553" s="2">
        <f t="shared" si="16"/>
        <v>42566</v>
      </c>
      <c r="L553" t="str">
        <f t="shared" si="17"/>
        <v>Friday</v>
      </c>
    </row>
    <row r="554" spans="1:12" x14ac:dyDescent="0.35">
      <c r="A554" s="1">
        <v>42567.551388888889</v>
      </c>
      <c r="B554" s="1">
        <v>42567.590277777781</v>
      </c>
      <c r="C554" t="s">
        <v>55</v>
      </c>
      <c r="D554" t="s">
        <v>168</v>
      </c>
      <c r="E554" t="s">
        <v>170</v>
      </c>
      <c r="F554">
        <v>28.1</v>
      </c>
      <c r="J554">
        <f>HOUR(Table1[[#This Row],[START_DATE]])</f>
        <v>13</v>
      </c>
      <c r="K554" s="2">
        <f t="shared" si="16"/>
        <v>42567</v>
      </c>
      <c r="L554" t="str">
        <f t="shared" si="17"/>
        <v>Saturday</v>
      </c>
    </row>
    <row r="555" spans="1:12" x14ac:dyDescent="0.35">
      <c r="A555" s="1">
        <v>42567.593055555553</v>
      </c>
      <c r="B555" s="1">
        <v>42567.604166666664</v>
      </c>
      <c r="C555" t="s">
        <v>55</v>
      </c>
      <c r="D555" t="s">
        <v>170</v>
      </c>
      <c r="E555" t="s">
        <v>170</v>
      </c>
      <c r="F555">
        <v>3.8</v>
      </c>
      <c r="J555">
        <f>HOUR(Table1[[#This Row],[START_DATE]])</f>
        <v>14</v>
      </c>
      <c r="K555" s="2">
        <f t="shared" si="16"/>
        <v>42567</v>
      </c>
      <c r="L555" t="str">
        <f t="shared" si="17"/>
        <v>Saturday</v>
      </c>
    </row>
    <row r="556" spans="1:12" x14ac:dyDescent="0.35">
      <c r="A556" s="1">
        <v>42567.645138888889</v>
      </c>
      <c r="B556" s="1">
        <v>42567.706250000003</v>
      </c>
      <c r="C556" t="s">
        <v>55</v>
      </c>
      <c r="D556" t="s">
        <v>170</v>
      </c>
      <c r="E556" t="s">
        <v>171</v>
      </c>
      <c r="F556">
        <v>41.9</v>
      </c>
      <c r="J556">
        <f>HOUR(Table1[[#This Row],[START_DATE]])</f>
        <v>15</v>
      </c>
      <c r="K556" s="2">
        <f t="shared" si="16"/>
        <v>42567</v>
      </c>
      <c r="L556" t="str">
        <f t="shared" si="17"/>
        <v>Saturday</v>
      </c>
    </row>
    <row r="557" spans="1:12" x14ac:dyDescent="0.35">
      <c r="A557" s="1">
        <v>42567.820833333331</v>
      </c>
      <c r="B557" s="1">
        <v>42567.857638888891</v>
      </c>
      <c r="C557" t="s">
        <v>55</v>
      </c>
      <c r="D557" t="s">
        <v>171</v>
      </c>
      <c r="E557" t="s">
        <v>168</v>
      </c>
      <c r="F557">
        <v>23.8</v>
      </c>
      <c r="J557">
        <f>HOUR(Table1[[#This Row],[START_DATE]])</f>
        <v>19</v>
      </c>
      <c r="K557" s="2">
        <f t="shared" si="16"/>
        <v>42567</v>
      </c>
      <c r="L557" t="str">
        <f t="shared" si="17"/>
        <v>Saturday</v>
      </c>
    </row>
    <row r="558" spans="1:12" x14ac:dyDescent="0.35">
      <c r="A558" s="1">
        <v>42567.90625</v>
      </c>
      <c r="B558" s="1">
        <v>42567.929166666669</v>
      </c>
      <c r="C558" t="s">
        <v>55</v>
      </c>
      <c r="D558" t="s">
        <v>168</v>
      </c>
      <c r="E558" t="s">
        <v>168</v>
      </c>
      <c r="F558">
        <v>13</v>
      </c>
      <c r="J558">
        <f>HOUR(Table1[[#This Row],[START_DATE]])</f>
        <v>21</v>
      </c>
      <c r="K558" s="2">
        <f t="shared" si="16"/>
        <v>42567</v>
      </c>
      <c r="L558" t="str">
        <f t="shared" si="17"/>
        <v>Saturday</v>
      </c>
    </row>
    <row r="559" spans="1:12" x14ac:dyDescent="0.35">
      <c r="A559" s="1">
        <v>42567.951388888891</v>
      </c>
      <c r="B559" s="1">
        <v>42567.960416666669</v>
      </c>
      <c r="C559" t="s">
        <v>7</v>
      </c>
      <c r="D559" t="s">
        <v>168</v>
      </c>
      <c r="E559" t="s">
        <v>168</v>
      </c>
      <c r="F559">
        <v>4.4000000000000004</v>
      </c>
      <c r="G559" t="s">
        <v>10</v>
      </c>
      <c r="J559">
        <f>HOUR(Table1[[#This Row],[START_DATE]])</f>
        <v>22</v>
      </c>
      <c r="K559" s="2">
        <f t="shared" si="16"/>
        <v>42567</v>
      </c>
      <c r="L559" t="str">
        <f t="shared" si="17"/>
        <v>Saturday</v>
      </c>
    </row>
    <row r="560" spans="1:12" x14ac:dyDescent="0.35">
      <c r="A560" s="1">
        <v>42568.474305555559</v>
      </c>
      <c r="B560" s="1">
        <v>42568.493055555555</v>
      </c>
      <c r="C560" t="s">
        <v>55</v>
      </c>
      <c r="D560" t="s">
        <v>168</v>
      </c>
      <c r="E560" t="s">
        <v>171</v>
      </c>
      <c r="F560">
        <v>15.1</v>
      </c>
      <c r="G560" t="s">
        <v>172</v>
      </c>
      <c r="J560">
        <f>HOUR(Table1[[#This Row],[START_DATE]])</f>
        <v>11</v>
      </c>
      <c r="K560" s="2">
        <f t="shared" si="16"/>
        <v>42568</v>
      </c>
      <c r="L560" t="str">
        <f t="shared" si="17"/>
        <v>Sunday</v>
      </c>
    </row>
    <row r="561" spans="1:12" x14ac:dyDescent="0.35">
      <c r="A561" s="1">
        <v>42568.513888888891</v>
      </c>
      <c r="B561" s="1">
        <v>42568.642361111109</v>
      </c>
      <c r="C561" t="s">
        <v>55</v>
      </c>
      <c r="D561" t="s">
        <v>171</v>
      </c>
      <c r="E561" t="s">
        <v>15</v>
      </c>
      <c r="F561">
        <v>180.2</v>
      </c>
      <c r="G561" t="s">
        <v>173</v>
      </c>
      <c r="J561">
        <f>HOUR(Table1[[#This Row],[START_DATE]])</f>
        <v>12</v>
      </c>
      <c r="K561" s="2">
        <f t="shared" si="16"/>
        <v>42568</v>
      </c>
      <c r="L561" t="str">
        <f t="shared" si="17"/>
        <v>Sunday</v>
      </c>
    </row>
    <row r="562" spans="1:12" x14ac:dyDescent="0.35">
      <c r="A562" s="1">
        <v>42569.442361111112</v>
      </c>
      <c r="B562" s="1">
        <v>42569.450694444444</v>
      </c>
      <c r="C562" t="s">
        <v>55</v>
      </c>
      <c r="D562" t="s">
        <v>15</v>
      </c>
      <c r="E562" t="s">
        <v>16</v>
      </c>
      <c r="F562">
        <v>4.0999999999999996</v>
      </c>
      <c r="G562" t="s">
        <v>174</v>
      </c>
      <c r="J562">
        <f>HOUR(Table1[[#This Row],[START_DATE]])</f>
        <v>10</v>
      </c>
      <c r="K562" s="2">
        <f t="shared" si="16"/>
        <v>42569</v>
      </c>
      <c r="L562" t="str">
        <f t="shared" si="17"/>
        <v>Monday</v>
      </c>
    </row>
    <row r="563" spans="1:12" x14ac:dyDescent="0.35">
      <c r="A563" s="1">
        <v>42569.45416666667</v>
      </c>
      <c r="B563" s="1">
        <v>42569.46875</v>
      </c>
      <c r="C563" t="s">
        <v>55</v>
      </c>
      <c r="D563" t="s">
        <v>16</v>
      </c>
      <c r="E563" t="s">
        <v>15</v>
      </c>
      <c r="F563">
        <v>6.1</v>
      </c>
      <c r="G563" t="s">
        <v>174</v>
      </c>
      <c r="J563">
        <f>HOUR(Table1[[#This Row],[START_DATE]])</f>
        <v>10</v>
      </c>
      <c r="K563" s="2">
        <f t="shared" si="16"/>
        <v>42569</v>
      </c>
      <c r="L563" t="str">
        <f t="shared" si="17"/>
        <v>Monday</v>
      </c>
    </row>
    <row r="564" spans="1:12" x14ac:dyDescent="0.35">
      <c r="A564" s="1">
        <v>42569.475694444445</v>
      </c>
      <c r="B564" s="1">
        <v>42569.48333333333</v>
      </c>
      <c r="C564" t="s">
        <v>55</v>
      </c>
      <c r="D564" t="s">
        <v>50</v>
      </c>
      <c r="E564" t="s">
        <v>57</v>
      </c>
      <c r="F564">
        <v>3.3</v>
      </c>
      <c r="G564" t="s">
        <v>174</v>
      </c>
      <c r="J564">
        <f>HOUR(Table1[[#This Row],[START_DATE]])</f>
        <v>11</v>
      </c>
      <c r="K564" s="2">
        <f t="shared" si="16"/>
        <v>42569</v>
      </c>
      <c r="L564" t="str">
        <f t="shared" si="17"/>
        <v>Monday</v>
      </c>
    </row>
    <row r="565" spans="1:12" x14ac:dyDescent="0.35">
      <c r="A565" s="1">
        <v>42569.486111111109</v>
      </c>
      <c r="B565" s="1">
        <v>42569.49722222222</v>
      </c>
      <c r="C565" t="s">
        <v>55</v>
      </c>
      <c r="D565" t="s">
        <v>57</v>
      </c>
      <c r="E565" t="s">
        <v>38</v>
      </c>
      <c r="F565">
        <v>4.7</v>
      </c>
      <c r="G565" t="s">
        <v>174</v>
      </c>
      <c r="J565">
        <f>HOUR(Table1[[#This Row],[START_DATE]])</f>
        <v>11</v>
      </c>
      <c r="K565" s="2">
        <f t="shared" si="16"/>
        <v>42569</v>
      </c>
      <c r="L565" t="str">
        <f t="shared" si="17"/>
        <v>Monday</v>
      </c>
    </row>
    <row r="566" spans="1:12" x14ac:dyDescent="0.35">
      <c r="A566" s="1">
        <v>42569.716666666667</v>
      </c>
      <c r="B566" s="1">
        <v>42569.731249999997</v>
      </c>
      <c r="C566" t="s">
        <v>7</v>
      </c>
      <c r="D566" t="s">
        <v>15</v>
      </c>
      <c r="E566" t="s">
        <v>48</v>
      </c>
      <c r="F566">
        <v>7.2</v>
      </c>
      <c r="G566" t="s">
        <v>11</v>
      </c>
      <c r="J566">
        <f>HOUR(Table1[[#This Row],[START_DATE]])</f>
        <v>17</v>
      </c>
      <c r="K566" s="2">
        <f t="shared" si="16"/>
        <v>42569</v>
      </c>
      <c r="L566" t="str">
        <f t="shared" si="17"/>
        <v>Monday</v>
      </c>
    </row>
    <row r="567" spans="1:12" x14ac:dyDescent="0.35">
      <c r="A567" s="1">
        <v>42569.772222222222</v>
      </c>
      <c r="B567" s="1">
        <v>42569.782638888886</v>
      </c>
      <c r="C567" t="s">
        <v>7</v>
      </c>
      <c r="D567" t="s">
        <v>48</v>
      </c>
      <c r="E567" t="s">
        <v>15</v>
      </c>
      <c r="F567">
        <v>5.5</v>
      </c>
      <c r="G567" t="s">
        <v>9</v>
      </c>
      <c r="J567">
        <f>HOUR(Table1[[#This Row],[START_DATE]])</f>
        <v>18</v>
      </c>
      <c r="K567" s="2">
        <f t="shared" si="16"/>
        <v>42569</v>
      </c>
      <c r="L567" t="str">
        <f t="shared" si="17"/>
        <v>Monday</v>
      </c>
    </row>
    <row r="568" spans="1:12" x14ac:dyDescent="0.35">
      <c r="A568" s="1">
        <v>42569.796527777777</v>
      </c>
      <c r="B568" s="1">
        <v>42569.801388888889</v>
      </c>
      <c r="C568" t="s">
        <v>7</v>
      </c>
      <c r="D568" t="s">
        <v>15</v>
      </c>
      <c r="E568" t="s">
        <v>16</v>
      </c>
      <c r="F568">
        <v>3.3</v>
      </c>
      <c r="G568" t="s">
        <v>9</v>
      </c>
      <c r="J568">
        <f>HOUR(Table1[[#This Row],[START_DATE]])</f>
        <v>19</v>
      </c>
      <c r="K568" s="2">
        <f t="shared" si="16"/>
        <v>42569</v>
      </c>
      <c r="L568" t="str">
        <f t="shared" si="17"/>
        <v>Monday</v>
      </c>
    </row>
    <row r="569" spans="1:12" x14ac:dyDescent="0.35">
      <c r="A569" s="1">
        <v>42569.852777777778</v>
      </c>
      <c r="B569" s="1">
        <v>42569.855555555558</v>
      </c>
      <c r="C569" t="s">
        <v>7</v>
      </c>
      <c r="D569" t="s">
        <v>43</v>
      </c>
      <c r="E569" t="s">
        <v>75</v>
      </c>
      <c r="F569">
        <v>0.9</v>
      </c>
      <c r="G569" t="s">
        <v>10</v>
      </c>
      <c r="J569">
        <f>HOUR(Table1[[#This Row],[START_DATE]])</f>
        <v>20</v>
      </c>
      <c r="K569" s="2">
        <f t="shared" si="16"/>
        <v>42569</v>
      </c>
      <c r="L569" t="str">
        <f t="shared" si="17"/>
        <v>Monday</v>
      </c>
    </row>
    <row r="570" spans="1:12" x14ac:dyDescent="0.35">
      <c r="A570" s="1">
        <v>42569.882638888892</v>
      </c>
      <c r="B570" s="1">
        <v>42569.888194444444</v>
      </c>
      <c r="C570" t="s">
        <v>7</v>
      </c>
      <c r="D570" t="s">
        <v>16</v>
      </c>
      <c r="E570" t="s">
        <v>15</v>
      </c>
      <c r="F570">
        <v>3.8</v>
      </c>
      <c r="G570" t="s">
        <v>9</v>
      </c>
      <c r="J570">
        <f>HOUR(Table1[[#This Row],[START_DATE]])</f>
        <v>21</v>
      </c>
      <c r="K570" s="2">
        <f t="shared" si="16"/>
        <v>42569</v>
      </c>
      <c r="L570" t="str">
        <f t="shared" si="17"/>
        <v>Monday</v>
      </c>
    </row>
    <row r="571" spans="1:12" x14ac:dyDescent="0.35">
      <c r="A571" s="1">
        <v>42570.440972222219</v>
      </c>
      <c r="B571" s="1">
        <v>42570.45208333333</v>
      </c>
      <c r="C571" t="s">
        <v>7</v>
      </c>
      <c r="D571" t="s">
        <v>38</v>
      </c>
      <c r="E571" t="s">
        <v>175</v>
      </c>
      <c r="F571">
        <v>6.4</v>
      </c>
      <c r="G571" t="s">
        <v>13</v>
      </c>
      <c r="J571">
        <f>HOUR(Table1[[#This Row],[START_DATE]])</f>
        <v>10</v>
      </c>
      <c r="K571" s="2">
        <f t="shared" si="16"/>
        <v>42570</v>
      </c>
      <c r="L571" t="str">
        <f t="shared" si="17"/>
        <v>Tuesday</v>
      </c>
    </row>
    <row r="572" spans="1:12" x14ac:dyDescent="0.35">
      <c r="A572" s="1">
        <v>42570.455555555556</v>
      </c>
      <c r="B572" s="1">
        <v>42570.46597222222</v>
      </c>
      <c r="C572" t="s">
        <v>7</v>
      </c>
      <c r="D572" t="s">
        <v>175</v>
      </c>
      <c r="E572" t="s">
        <v>176</v>
      </c>
      <c r="F572">
        <v>3</v>
      </c>
      <c r="G572" t="s">
        <v>11</v>
      </c>
      <c r="J572">
        <f>HOUR(Table1[[#This Row],[START_DATE]])</f>
        <v>10</v>
      </c>
      <c r="K572" s="2">
        <f t="shared" si="16"/>
        <v>42570</v>
      </c>
      <c r="L572" t="str">
        <f t="shared" si="17"/>
        <v>Tuesday</v>
      </c>
    </row>
    <row r="573" spans="1:12" x14ac:dyDescent="0.35">
      <c r="A573" s="1">
        <v>42570.479166666664</v>
      </c>
      <c r="B573" s="1">
        <v>42570.5</v>
      </c>
      <c r="C573" t="s">
        <v>7</v>
      </c>
      <c r="D573" t="s">
        <v>176</v>
      </c>
      <c r="E573" t="s">
        <v>38</v>
      </c>
      <c r="F573">
        <v>8.6999999999999993</v>
      </c>
      <c r="G573" t="s">
        <v>9</v>
      </c>
      <c r="J573">
        <f>HOUR(Table1[[#This Row],[START_DATE]])</f>
        <v>11</v>
      </c>
      <c r="K573" s="2">
        <f t="shared" si="16"/>
        <v>42570</v>
      </c>
      <c r="L573" t="str">
        <f t="shared" si="17"/>
        <v>Tuesday</v>
      </c>
    </row>
    <row r="574" spans="1:12" x14ac:dyDescent="0.35">
      <c r="A574" s="1">
        <v>42570.718055555553</v>
      </c>
      <c r="B574" s="1">
        <v>42570.724999999999</v>
      </c>
      <c r="C574" t="s">
        <v>7</v>
      </c>
      <c r="D574" t="s">
        <v>38</v>
      </c>
      <c r="E574" t="s">
        <v>114</v>
      </c>
      <c r="F574">
        <v>3.9</v>
      </c>
      <c r="G574" t="s">
        <v>10</v>
      </c>
      <c r="J574">
        <f>HOUR(Table1[[#This Row],[START_DATE]])</f>
        <v>17</v>
      </c>
      <c r="K574" s="2">
        <f t="shared" si="16"/>
        <v>42570</v>
      </c>
      <c r="L574" t="str">
        <f t="shared" si="17"/>
        <v>Tuesday</v>
      </c>
    </row>
    <row r="575" spans="1:12" x14ac:dyDescent="0.35">
      <c r="A575" s="1">
        <v>42570.743055555555</v>
      </c>
      <c r="B575" s="1">
        <v>42570.755555555559</v>
      </c>
      <c r="C575" t="s">
        <v>55</v>
      </c>
      <c r="D575" t="s">
        <v>114</v>
      </c>
      <c r="E575" t="s">
        <v>38</v>
      </c>
      <c r="F575">
        <v>4.8</v>
      </c>
      <c r="J575">
        <f>HOUR(Table1[[#This Row],[START_DATE]])</f>
        <v>17</v>
      </c>
      <c r="K575" s="2">
        <f t="shared" si="16"/>
        <v>42570</v>
      </c>
      <c r="L575" t="str">
        <f t="shared" si="17"/>
        <v>Tuesday</v>
      </c>
    </row>
    <row r="576" spans="1:12" x14ac:dyDescent="0.35">
      <c r="A576" s="1">
        <v>42571.716666666667</v>
      </c>
      <c r="B576" s="1">
        <v>42571.724999999999</v>
      </c>
      <c r="C576" t="s">
        <v>55</v>
      </c>
      <c r="D576" t="s">
        <v>38</v>
      </c>
      <c r="E576" t="s">
        <v>54</v>
      </c>
      <c r="F576">
        <v>2.8</v>
      </c>
      <c r="J576">
        <f>HOUR(Table1[[#This Row],[START_DATE]])</f>
        <v>17</v>
      </c>
      <c r="K576" s="2">
        <f t="shared" si="16"/>
        <v>42571</v>
      </c>
      <c r="L576" t="str">
        <f t="shared" si="17"/>
        <v>Wednesday</v>
      </c>
    </row>
    <row r="577" spans="1:12" x14ac:dyDescent="0.35">
      <c r="A577" s="1">
        <v>42571.743055555555</v>
      </c>
      <c r="B577" s="1">
        <v>42571.747916666667</v>
      </c>
      <c r="C577" t="s">
        <v>55</v>
      </c>
      <c r="D577" t="s">
        <v>54</v>
      </c>
      <c r="E577" t="s">
        <v>57</v>
      </c>
      <c r="F577">
        <v>1.4</v>
      </c>
      <c r="J577">
        <f>HOUR(Table1[[#This Row],[START_DATE]])</f>
        <v>17</v>
      </c>
      <c r="K577" s="2">
        <f t="shared" si="16"/>
        <v>42571</v>
      </c>
      <c r="L577" t="str">
        <f t="shared" si="17"/>
        <v>Wednesday</v>
      </c>
    </row>
    <row r="578" spans="1:12" x14ac:dyDescent="0.35">
      <c r="A578" s="1">
        <v>42571.761111111111</v>
      </c>
      <c r="B578" s="1">
        <v>42571.763888888891</v>
      </c>
      <c r="C578" t="s">
        <v>55</v>
      </c>
      <c r="D578" t="s">
        <v>57</v>
      </c>
      <c r="E578" t="s">
        <v>38</v>
      </c>
      <c r="F578">
        <v>1.4</v>
      </c>
      <c r="J578">
        <f>HOUR(Table1[[#This Row],[START_DATE]])</f>
        <v>18</v>
      </c>
      <c r="K578" s="2">
        <f t="shared" si="16"/>
        <v>42571</v>
      </c>
      <c r="L578" t="str">
        <f t="shared" si="17"/>
        <v>Wednesday</v>
      </c>
    </row>
    <row r="579" spans="1:12" x14ac:dyDescent="0.35">
      <c r="A579" s="1">
        <v>42572.720138888886</v>
      </c>
      <c r="B579" s="1">
        <v>42572.724305555559</v>
      </c>
      <c r="C579" t="s">
        <v>7</v>
      </c>
      <c r="D579" t="s">
        <v>38</v>
      </c>
      <c r="E579" t="s">
        <v>54</v>
      </c>
      <c r="F579">
        <v>2.7</v>
      </c>
      <c r="J579">
        <f>HOUR(Table1[[#This Row],[START_DATE]])</f>
        <v>17</v>
      </c>
      <c r="K579" s="2">
        <f t="shared" ref="K579:K642" si="18">DATE(YEAR(A579), MONTH(A579), DAY(A579))</f>
        <v>42572</v>
      </c>
      <c r="L579" t="str">
        <f t="shared" ref="L579:L642" si="19">TEXT(A579,"dddd")</f>
        <v>Thursday</v>
      </c>
    </row>
    <row r="580" spans="1:12" x14ac:dyDescent="0.35">
      <c r="A580" s="1">
        <v>42572.737500000003</v>
      </c>
      <c r="B580" s="1">
        <v>42572.743750000001</v>
      </c>
      <c r="C580" t="s">
        <v>7</v>
      </c>
      <c r="D580" t="s">
        <v>54</v>
      </c>
      <c r="E580" t="s">
        <v>115</v>
      </c>
      <c r="F580">
        <v>2.2999999999999998</v>
      </c>
      <c r="J580">
        <f>HOUR(Table1[[#This Row],[START_DATE]])</f>
        <v>17</v>
      </c>
      <c r="K580" s="2">
        <f t="shared" si="18"/>
        <v>42572</v>
      </c>
      <c r="L580" t="str">
        <f t="shared" si="19"/>
        <v>Thursday</v>
      </c>
    </row>
    <row r="581" spans="1:12" x14ac:dyDescent="0.35">
      <c r="A581" s="1">
        <v>42572.768750000003</v>
      </c>
      <c r="B581" s="1">
        <v>42572.779166666667</v>
      </c>
      <c r="C581" t="s">
        <v>7</v>
      </c>
      <c r="D581" t="s">
        <v>15</v>
      </c>
      <c r="E581" t="s">
        <v>16</v>
      </c>
      <c r="F581">
        <v>3.7</v>
      </c>
      <c r="J581">
        <f>HOUR(Table1[[#This Row],[START_DATE]])</f>
        <v>18</v>
      </c>
      <c r="K581" s="2">
        <f t="shared" si="18"/>
        <v>42572</v>
      </c>
      <c r="L581" t="str">
        <f t="shared" si="19"/>
        <v>Thursday</v>
      </c>
    </row>
    <row r="582" spans="1:12" x14ac:dyDescent="0.35">
      <c r="A582" s="1">
        <v>42572.8125</v>
      </c>
      <c r="B582" s="1">
        <v>42572.818749999999</v>
      </c>
      <c r="C582" t="s">
        <v>7</v>
      </c>
      <c r="D582" t="s">
        <v>16</v>
      </c>
      <c r="E582" t="s">
        <v>15</v>
      </c>
      <c r="F582">
        <v>2.9</v>
      </c>
      <c r="J582">
        <f>HOUR(Table1[[#This Row],[START_DATE]])</f>
        <v>19</v>
      </c>
      <c r="K582" s="2">
        <f t="shared" si="18"/>
        <v>42572</v>
      </c>
      <c r="L582" t="str">
        <f t="shared" si="19"/>
        <v>Thursday</v>
      </c>
    </row>
    <row r="583" spans="1:12" x14ac:dyDescent="0.35">
      <c r="A583" s="1">
        <v>42573.445833333331</v>
      </c>
      <c r="B583" s="1">
        <v>42573.453472222223</v>
      </c>
      <c r="C583" t="s">
        <v>7</v>
      </c>
      <c r="D583" t="s">
        <v>15</v>
      </c>
      <c r="E583" t="s">
        <v>16</v>
      </c>
      <c r="F583">
        <v>3.8</v>
      </c>
      <c r="J583">
        <f>HOUR(Table1[[#This Row],[START_DATE]])</f>
        <v>10</v>
      </c>
      <c r="K583" s="2">
        <f t="shared" si="18"/>
        <v>42573</v>
      </c>
      <c r="L583" t="str">
        <f t="shared" si="19"/>
        <v>Friday</v>
      </c>
    </row>
    <row r="584" spans="1:12" x14ac:dyDescent="0.35">
      <c r="A584" s="1">
        <v>42573.46597222222</v>
      </c>
      <c r="B584" s="1">
        <v>42573.475694444445</v>
      </c>
      <c r="C584" t="s">
        <v>7</v>
      </c>
      <c r="D584" t="s">
        <v>16</v>
      </c>
      <c r="E584" t="s">
        <v>15</v>
      </c>
      <c r="F584">
        <v>5.0999999999999996</v>
      </c>
      <c r="J584">
        <f>HOUR(Table1[[#This Row],[START_DATE]])</f>
        <v>11</v>
      </c>
      <c r="K584" s="2">
        <f t="shared" si="18"/>
        <v>42573</v>
      </c>
      <c r="L584" t="str">
        <f t="shared" si="19"/>
        <v>Friday</v>
      </c>
    </row>
    <row r="585" spans="1:12" x14ac:dyDescent="0.35">
      <c r="A585" s="1">
        <v>42573.484027777777</v>
      </c>
      <c r="B585" s="1">
        <v>42573.5</v>
      </c>
      <c r="C585" t="s">
        <v>7</v>
      </c>
      <c r="D585" t="s">
        <v>43</v>
      </c>
      <c r="E585" t="s">
        <v>176</v>
      </c>
      <c r="F585">
        <v>9.1</v>
      </c>
      <c r="J585">
        <f>HOUR(Table1[[#This Row],[START_DATE]])</f>
        <v>11</v>
      </c>
      <c r="K585" s="2">
        <f t="shared" si="18"/>
        <v>42573</v>
      </c>
      <c r="L585" t="str">
        <f t="shared" si="19"/>
        <v>Friday</v>
      </c>
    </row>
    <row r="586" spans="1:12" x14ac:dyDescent="0.35">
      <c r="A586" s="1">
        <v>42573.509722222225</v>
      </c>
      <c r="B586" s="1">
        <v>42573.521527777775</v>
      </c>
      <c r="C586" t="s">
        <v>7</v>
      </c>
      <c r="D586" t="s">
        <v>15</v>
      </c>
      <c r="E586" t="s">
        <v>36</v>
      </c>
      <c r="F586">
        <v>8</v>
      </c>
      <c r="J586">
        <f>HOUR(Table1[[#This Row],[START_DATE]])</f>
        <v>12</v>
      </c>
      <c r="K586" s="2">
        <f t="shared" si="18"/>
        <v>42573</v>
      </c>
      <c r="L586" t="str">
        <f t="shared" si="19"/>
        <v>Friday</v>
      </c>
    </row>
    <row r="587" spans="1:12" x14ac:dyDescent="0.35">
      <c r="A587" s="1">
        <v>42573.556250000001</v>
      </c>
      <c r="B587" s="1">
        <v>42573.570833333331</v>
      </c>
      <c r="C587" t="s">
        <v>7</v>
      </c>
      <c r="D587" t="s">
        <v>36</v>
      </c>
      <c r="E587" t="s">
        <v>15</v>
      </c>
      <c r="F587">
        <v>9.9</v>
      </c>
      <c r="G587" t="s">
        <v>11</v>
      </c>
      <c r="J587">
        <f>HOUR(Table1[[#This Row],[START_DATE]])</f>
        <v>13</v>
      </c>
      <c r="K587" s="2">
        <f t="shared" si="18"/>
        <v>42573</v>
      </c>
      <c r="L587" t="str">
        <f t="shared" si="19"/>
        <v>Friday</v>
      </c>
    </row>
    <row r="588" spans="1:12" x14ac:dyDescent="0.35">
      <c r="A588" s="1">
        <v>42573.602083333331</v>
      </c>
      <c r="B588" s="1">
        <v>42573.613194444442</v>
      </c>
      <c r="C588" t="s">
        <v>7</v>
      </c>
      <c r="D588" t="s">
        <v>15</v>
      </c>
      <c r="E588" t="s">
        <v>16</v>
      </c>
      <c r="F588">
        <v>6.1</v>
      </c>
      <c r="G588" t="s">
        <v>9</v>
      </c>
      <c r="J588">
        <f>HOUR(Table1[[#This Row],[START_DATE]])</f>
        <v>14</v>
      </c>
      <c r="K588" s="2">
        <f t="shared" si="18"/>
        <v>42573</v>
      </c>
      <c r="L588" t="str">
        <f t="shared" si="19"/>
        <v>Friday</v>
      </c>
    </row>
    <row r="589" spans="1:12" x14ac:dyDescent="0.35">
      <c r="A589" s="1">
        <v>42573.65902777778</v>
      </c>
      <c r="B589" s="1">
        <v>42573.681944444441</v>
      </c>
      <c r="C589" t="s">
        <v>7</v>
      </c>
      <c r="D589" t="s">
        <v>16</v>
      </c>
      <c r="E589" t="s">
        <v>15</v>
      </c>
      <c r="F589">
        <v>12.2</v>
      </c>
      <c r="J589">
        <f>HOUR(Table1[[#This Row],[START_DATE]])</f>
        <v>15</v>
      </c>
      <c r="K589" s="2">
        <f t="shared" si="18"/>
        <v>42573</v>
      </c>
      <c r="L589" t="str">
        <f t="shared" si="19"/>
        <v>Friday</v>
      </c>
    </row>
    <row r="590" spans="1:12" x14ac:dyDescent="0.35">
      <c r="A590" s="1">
        <v>42573.772916666669</v>
      </c>
      <c r="B590" s="1">
        <v>42573.785416666666</v>
      </c>
      <c r="C590" t="s">
        <v>7</v>
      </c>
      <c r="D590" t="s">
        <v>73</v>
      </c>
      <c r="E590" t="s">
        <v>38</v>
      </c>
      <c r="F590">
        <v>8</v>
      </c>
      <c r="J590">
        <f>HOUR(Table1[[#This Row],[START_DATE]])</f>
        <v>18</v>
      </c>
      <c r="K590" s="2">
        <f t="shared" si="18"/>
        <v>42573</v>
      </c>
      <c r="L590" t="str">
        <f t="shared" si="19"/>
        <v>Friday</v>
      </c>
    </row>
    <row r="591" spans="1:12" x14ac:dyDescent="0.35">
      <c r="A591" s="1">
        <v>42574.602083333331</v>
      </c>
      <c r="B591" s="1">
        <v>42574.613888888889</v>
      </c>
      <c r="C591" t="s">
        <v>7</v>
      </c>
      <c r="D591" t="s">
        <v>15</v>
      </c>
      <c r="E591" t="s">
        <v>16</v>
      </c>
      <c r="F591">
        <v>4</v>
      </c>
      <c r="J591">
        <f>HOUR(Table1[[#This Row],[START_DATE]])</f>
        <v>14</v>
      </c>
      <c r="K591" s="2">
        <f t="shared" si="18"/>
        <v>42574</v>
      </c>
      <c r="L591" t="str">
        <f t="shared" si="19"/>
        <v>Saturday</v>
      </c>
    </row>
    <row r="592" spans="1:12" x14ac:dyDescent="0.35">
      <c r="A592" s="1">
        <v>42574.616666666669</v>
      </c>
      <c r="B592" s="1">
        <v>42574.633333333331</v>
      </c>
      <c r="C592" t="s">
        <v>7</v>
      </c>
      <c r="D592" t="s">
        <v>16</v>
      </c>
      <c r="E592" t="s">
        <v>15</v>
      </c>
      <c r="F592">
        <v>9.5</v>
      </c>
      <c r="J592">
        <f>HOUR(Table1[[#This Row],[START_DATE]])</f>
        <v>14</v>
      </c>
      <c r="K592" s="2">
        <f t="shared" si="18"/>
        <v>42574</v>
      </c>
      <c r="L592" t="str">
        <f t="shared" si="19"/>
        <v>Saturday</v>
      </c>
    </row>
    <row r="593" spans="1:12" x14ac:dyDescent="0.35">
      <c r="A593" s="1">
        <v>42574.635416666664</v>
      </c>
      <c r="B593" s="1">
        <v>42574.643750000003</v>
      </c>
      <c r="C593" t="s">
        <v>7</v>
      </c>
      <c r="D593" t="s">
        <v>15</v>
      </c>
      <c r="E593" t="s">
        <v>16</v>
      </c>
      <c r="F593">
        <v>3</v>
      </c>
      <c r="J593">
        <f>HOUR(Table1[[#This Row],[START_DATE]])</f>
        <v>15</v>
      </c>
      <c r="K593" s="2">
        <f t="shared" si="18"/>
        <v>42574</v>
      </c>
      <c r="L593" t="str">
        <f t="shared" si="19"/>
        <v>Saturday</v>
      </c>
    </row>
    <row r="594" spans="1:12" x14ac:dyDescent="0.35">
      <c r="A594" s="1">
        <v>42574.659722222219</v>
      </c>
      <c r="B594" s="1">
        <v>42574.673611111109</v>
      </c>
      <c r="C594" t="s">
        <v>7</v>
      </c>
      <c r="D594" t="s">
        <v>16</v>
      </c>
      <c r="E594" t="s">
        <v>15</v>
      </c>
      <c r="F594">
        <v>6.3</v>
      </c>
      <c r="J594">
        <f>HOUR(Table1[[#This Row],[START_DATE]])</f>
        <v>15</v>
      </c>
      <c r="K594" s="2">
        <f t="shared" si="18"/>
        <v>42574</v>
      </c>
      <c r="L594" t="str">
        <f t="shared" si="19"/>
        <v>Saturday</v>
      </c>
    </row>
    <row r="595" spans="1:12" x14ac:dyDescent="0.35">
      <c r="A595" s="1">
        <v>42574.845138888886</v>
      </c>
      <c r="B595" s="1">
        <v>42574.856249999997</v>
      </c>
      <c r="C595" t="s">
        <v>7</v>
      </c>
      <c r="D595" t="s">
        <v>15</v>
      </c>
      <c r="E595" t="s">
        <v>36</v>
      </c>
      <c r="F595">
        <v>10.4</v>
      </c>
      <c r="G595" t="s">
        <v>11</v>
      </c>
      <c r="J595">
        <f>HOUR(Table1[[#This Row],[START_DATE]])</f>
        <v>20</v>
      </c>
      <c r="K595" s="2">
        <f t="shared" si="18"/>
        <v>42574</v>
      </c>
      <c r="L595" t="str">
        <f t="shared" si="19"/>
        <v>Saturday</v>
      </c>
    </row>
    <row r="596" spans="1:12" x14ac:dyDescent="0.35">
      <c r="A596" s="1">
        <v>42574.970833333333</v>
      </c>
      <c r="B596" s="1">
        <v>42574.988194444442</v>
      </c>
      <c r="C596" t="s">
        <v>7</v>
      </c>
      <c r="D596" t="s">
        <v>36</v>
      </c>
      <c r="E596" t="s">
        <v>15</v>
      </c>
      <c r="F596">
        <v>9.9</v>
      </c>
      <c r="G596" t="s">
        <v>11</v>
      </c>
      <c r="J596">
        <f>HOUR(Table1[[#This Row],[START_DATE]])</f>
        <v>23</v>
      </c>
      <c r="K596" s="2">
        <f t="shared" si="18"/>
        <v>42574</v>
      </c>
      <c r="L596" t="str">
        <f t="shared" si="19"/>
        <v>Saturday</v>
      </c>
    </row>
    <row r="597" spans="1:12" x14ac:dyDescent="0.35">
      <c r="A597" s="1">
        <v>42576.440972222219</v>
      </c>
      <c r="B597" s="1">
        <v>42576.445138888892</v>
      </c>
      <c r="C597" t="s">
        <v>7</v>
      </c>
      <c r="D597" t="s">
        <v>38</v>
      </c>
      <c r="E597" t="s">
        <v>116</v>
      </c>
      <c r="F597">
        <v>1.5</v>
      </c>
      <c r="J597">
        <f>HOUR(Table1[[#This Row],[START_DATE]])</f>
        <v>10</v>
      </c>
      <c r="K597" s="2">
        <f t="shared" si="18"/>
        <v>42576</v>
      </c>
      <c r="L597" t="str">
        <f t="shared" si="19"/>
        <v>Monday</v>
      </c>
    </row>
    <row r="598" spans="1:12" x14ac:dyDescent="0.35">
      <c r="A598" s="1">
        <v>42576.449305555558</v>
      </c>
      <c r="B598" s="1">
        <v>42576.456944444442</v>
      </c>
      <c r="C598" t="s">
        <v>7</v>
      </c>
      <c r="D598" t="s">
        <v>15</v>
      </c>
      <c r="E598" t="s">
        <v>16</v>
      </c>
      <c r="F598">
        <v>4.9000000000000004</v>
      </c>
      <c r="J598">
        <f>HOUR(Table1[[#This Row],[START_DATE]])</f>
        <v>10</v>
      </c>
      <c r="K598" s="2">
        <f t="shared" si="18"/>
        <v>42576</v>
      </c>
      <c r="L598" t="str">
        <f t="shared" si="19"/>
        <v>Monday</v>
      </c>
    </row>
    <row r="599" spans="1:12" x14ac:dyDescent="0.35">
      <c r="A599" s="1">
        <v>42576.461111111108</v>
      </c>
      <c r="B599" s="1">
        <v>42576.481249999997</v>
      </c>
      <c r="C599" t="s">
        <v>7</v>
      </c>
      <c r="D599" t="s">
        <v>16</v>
      </c>
      <c r="E599" t="s">
        <v>15</v>
      </c>
      <c r="F599">
        <v>7.9</v>
      </c>
      <c r="J599">
        <f>HOUR(Table1[[#This Row],[START_DATE]])</f>
        <v>11</v>
      </c>
      <c r="K599" s="2">
        <f t="shared" si="18"/>
        <v>42576</v>
      </c>
      <c r="L599" t="str">
        <f t="shared" si="19"/>
        <v>Monday</v>
      </c>
    </row>
    <row r="600" spans="1:12" x14ac:dyDescent="0.35">
      <c r="A600" s="1">
        <v>42576.484027777777</v>
      </c>
      <c r="B600" s="1">
        <v>42576.488888888889</v>
      </c>
      <c r="C600" t="s">
        <v>7</v>
      </c>
      <c r="D600" t="s">
        <v>116</v>
      </c>
      <c r="E600" t="s">
        <v>38</v>
      </c>
      <c r="F600">
        <v>1.7</v>
      </c>
      <c r="J600">
        <f>HOUR(Table1[[#This Row],[START_DATE]])</f>
        <v>11</v>
      </c>
      <c r="K600" s="2">
        <f t="shared" si="18"/>
        <v>42576</v>
      </c>
      <c r="L600" t="str">
        <f t="shared" si="19"/>
        <v>Monday</v>
      </c>
    </row>
    <row r="601" spans="1:12" x14ac:dyDescent="0.35">
      <c r="A601" s="1">
        <v>42577.654861111114</v>
      </c>
      <c r="B601" s="1">
        <v>42577.65902777778</v>
      </c>
      <c r="C601" t="s">
        <v>7</v>
      </c>
      <c r="D601" t="s">
        <v>38</v>
      </c>
      <c r="E601" t="s">
        <v>44</v>
      </c>
      <c r="F601">
        <v>2.2000000000000002</v>
      </c>
      <c r="J601">
        <f>HOUR(Table1[[#This Row],[START_DATE]])</f>
        <v>15</v>
      </c>
      <c r="K601" s="2">
        <f t="shared" si="18"/>
        <v>42577</v>
      </c>
      <c r="L601" t="str">
        <f t="shared" si="19"/>
        <v>Tuesday</v>
      </c>
    </row>
    <row r="602" spans="1:12" x14ac:dyDescent="0.35">
      <c r="A602" s="1">
        <v>42577.718055555553</v>
      </c>
      <c r="B602" s="1">
        <v>42577.724999999999</v>
      </c>
      <c r="C602" t="s">
        <v>7</v>
      </c>
      <c r="D602" t="s">
        <v>44</v>
      </c>
      <c r="E602" t="s">
        <v>38</v>
      </c>
      <c r="F602">
        <v>2.1</v>
      </c>
      <c r="J602">
        <f>HOUR(Table1[[#This Row],[START_DATE]])</f>
        <v>17</v>
      </c>
      <c r="K602" s="2">
        <f t="shared" si="18"/>
        <v>42577</v>
      </c>
      <c r="L602" t="str">
        <f t="shared" si="19"/>
        <v>Tuesday</v>
      </c>
    </row>
    <row r="603" spans="1:12" x14ac:dyDescent="0.35">
      <c r="A603" s="1">
        <v>42577.869444444441</v>
      </c>
      <c r="B603" s="1">
        <v>42577.875</v>
      </c>
      <c r="C603" t="s">
        <v>7</v>
      </c>
      <c r="D603" t="s">
        <v>15</v>
      </c>
      <c r="E603" t="s">
        <v>16</v>
      </c>
      <c r="F603">
        <v>2.5</v>
      </c>
      <c r="G603" t="s">
        <v>9</v>
      </c>
      <c r="J603">
        <f>HOUR(Table1[[#This Row],[START_DATE]])</f>
        <v>20</v>
      </c>
      <c r="K603" s="2">
        <f t="shared" si="18"/>
        <v>42577</v>
      </c>
      <c r="L603" t="str">
        <f t="shared" si="19"/>
        <v>Tuesday</v>
      </c>
    </row>
    <row r="604" spans="1:12" x14ac:dyDescent="0.35">
      <c r="A604" s="1">
        <v>42577.938194444447</v>
      </c>
      <c r="B604" s="1">
        <v>42577.943749999999</v>
      </c>
      <c r="C604" t="s">
        <v>7</v>
      </c>
      <c r="D604" t="s">
        <v>16</v>
      </c>
      <c r="E604" t="s">
        <v>15</v>
      </c>
      <c r="F604">
        <v>2.5</v>
      </c>
      <c r="G604" t="s">
        <v>9</v>
      </c>
      <c r="J604">
        <f>HOUR(Table1[[#This Row],[START_DATE]])</f>
        <v>22</v>
      </c>
      <c r="K604" s="2">
        <f t="shared" si="18"/>
        <v>42577</v>
      </c>
      <c r="L604" t="str">
        <f t="shared" si="19"/>
        <v>Tuesday</v>
      </c>
    </row>
    <row r="605" spans="1:12" x14ac:dyDescent="0.35">
      <c r="A605" s="1">
        <v>42578.797222222223</v>
      </c>
      <c r="B605" s="1">
        <v>42578.805555555555</v>
      </c>
      <c r="C605" t="s">
        <v>7</v>
      </c>
      <c r="D605" t="s">
        <v>15</v>
      </c>
      <c r="E605" t="s">
        <v>16</v>
      </c>
      <c r="F605">
        <v>2.8</v>
      </c>
      <c r="J605">
        <f>HOUR(Table1[[#This Row],[START_DATE]])</f>
        <v>19</v>
      </c>
      <c r="K605" s="2">
        <f t="shared" si="18"/>
        <v>42578</v>
      </c>
      <c r="L605" t="str">
        <f t="shared" si="19"/>
        <v>Wednesday</v>
      </c>
    </row>
    <row r="606" spans="1:12" x14ac:dyDescent="0.35">
      <c r="A606" s="1">
        <v>42578.898611111108</v>
      </c>
      <c r="B606" s="1">
        <v>42578.914583333331</v>
      </c>
      <c r="C606" t="s">
        <v>7</v>
      </c>
      <c r="D606" t="s">
        <v>16</v>
      </c>
      <c r="E606" t="s">
        <v>40</v>
      </c>
      <c r="F606">
        <v>14.7</v>
      </c>
      <c r="J606">
        <f>HOUR(Table1[[#This Row],[START_DATE]])</f>
        <v>21</v>
      </c>
      <c r="K606" s="2">
        <f t="shared" si="18"/>
        <v>42578</v>
      </c>
      <c r="L606" t="str">
        <f t="shared" si="19"/>
        <v>Wednesday</v>
      </c>
    </row>
    <row r="607" spans="1:12" x14ac:dyDescent="0.35">
      <c r="A607" s="1">
        <v>42578.916666666664</v>
      </c>
      <c r="B607" s="1">
        <v>42578.93472222222</v>
      </c>
      <c r="C607" t="s">
        <v>7</v>
      </c>
      <c r="D607" t="s">
        <v>40</v>
      </c>
      <c r="E607" t="s">
        <v>16</v>
      </c>
      <c r="F607">
        <v>14.6</v>
      </c>
      <c r="J607">
        <f>HOUR(Table1[[#This Row],[START_DATE]])</f>
        <v>22</v>
      </c>
      <c r="K607" s="2">
        <f t="shared" si="18"/>
        <v>42578</v>
      </c>
      <c r="L607" t="str">
        <f t="shared" si="19"/>
        <v>Wednesday</v>
      </c>
    </row>
    <row r="608" spans="1:12" x14ac:dyDescent="0.35">
      <c r="A608" s="1">
        <v>42579.00277777778</v>
      </c>
      <c r="B608" s="1">
        <v>42579.006249999999</v>
      </c>
      <c r="C608" t="s">
        <v>7</v>
      </c>
      <c r="D608" t="s">
        <v>16</v>
      </c>
      <c r="E608" t="s">
        <v>15</v>
      </c>
      <c r="F608">
        <v>2.2999999999999998</v>
      </c>
      <c r="J608">
        <f>HOUR(Table1[[#This Row],[START_DATE]])</f>
        <v>0</v>
      </c>
      <c r="K608" s="2">
        <f t="shared" si="18"/>
        <v>42579</v>
      </c>
      <c r="L608" t="str">
        <f t="shared" si="19"/>
        <v>Thursday</v>
      </c>
    </row>
    <row r="609" spans="1:12" x14ac:dyDescent="0.35">
      <c r="A609" s="1">
        <v>42580.65625</v>
      </c>
      <c r="B609" s="1">
        <v>42580.657638888886</v>
      </c>
      <c r="C609" t="s">
        <v>7</v>
      </c>
      <c r="D609" t="s">
        <v>38</v>
      </c>
      <c r="E609" t="s">
        <v>44</v>
      </c>
      <c r="F609">
        <v>2.2000000000000002</v>
      </c>
      <c r="J609">
        <f>HOUR(Table1[[#This Row],[START_DATE]])</f>
        <v>15</v>
      </c>
      <c r="K609" s="2">
        <f t="shared" si="18"/>
        <v>42580</v>
      </c>
      <c r="L609" t="str">
        <f t="shared" si="19"/>
        <v>Friday</v>
      </c>
    </row>
    <row r="610" spans="1:12" x14ac:dyDescent="0.35">
      <c r="A610" s="1">
        <v>42580.727083333331</v>
      </c>
      <c r="B610" s="1">
        <v>42580.739583333336</v>
      </c>
      <c r="C610" t="s">
        <v>7</v>
      </c>
      <c r="D610" t="s">
        <v>44</v>
      </c>
      <c r="E610" t="s">
        <v>38</v>
      </c>
      <c r="F610">
        <v>2.2000000000000002</v>
      </c>
      <c r="G610" t="s">
        <v>9</v>
      </c>
      <c r="J610">
        <f>HOUR(Table1[[#This Row],[START_DATE]])</f>
        <v>17</v>
      </c>
      <c r="K610" s="2">
        <f t="shared" si="18"/>
        <v>42580</v>
      </c>
      <c r="L610" t="str">
        <f t="shared" si="19"/>
        <v>Friday</v>
      </c>
    </row>
    <row r="611" spans="1:12" x14ac:dyDescent="0.35">
      <c r="A611" s="1">
        <v>42581.709722222222</v>
      </c>
      <c r="B611" s="1">
        <v>42581.727083333331</v>
      </c>
      <c r="C611" t="s">
        <v>7</v>
      </c>
      <c r="D611" t="s">
        <v>15</v>
      </c>
      <c r="E611" t="s">
        <v>36</v>
      </c>
      <c r="F611">
        <v>14</v>
      </c>
      <c r="J611">
        <f>HOUR(Table1[[#This Row],[START_DATE]])</f>
        <v>17</v>
      </c>
      <c r="K611" s="2">
        <f t="shared" si="18"/>
        <v>42581</v>
      </c>
      <c r="L611" t="str">
        <f t="shared" si="19"/>
        <v>Saturday</v>
      </c>
    </row>
    <row r="612" spans="1:12" x14ac:dyDescent="0.35">
      <c r="A612" s="1">
        <v>42581.886111111111</v>
      </c>
      <c r="B612" s="1">
        <v>42581.90347222222</v>
      </c>
      <c r="C612" t="s">
        <v>7</v>
      </c>
      <c r="D612" t="s">
        <v>36</v>
      </c>
      <c r="E612" t="s">
        <v>15</v>
      </c>
      <c r="F612">
        <v>13.3</v>
      </c>
      <c r="J612">
        <f>HOUR(Table1[[#This Row],[START_DATE]])</f>
        <v>21</v>
      </c>
      <c r="K612" s="2">
        <f t="shared" si="18"/>
        <v>42581</v>
      </c>
      <c r="L612" t="str">
        <f t="shared" si="19"/>
        <v>Saturday</v>
      </c>
    </row>
    <row r="613" spans="1:12" x14ac:dyDescent="0.35">
      <c r="A613" s="1">
        <v>42582.729166666664</v>
      </c>
      <c r="B613" s="1">
        <v>42582.734027777777</v>
      </c>
      <c r="C613" t="s">
        <v>7</v>
      </c>
      <c r="D613" t="s">
        <v>44</v>
      </c>
      <c r="E613" t="s">
        <v>38</v>
      </c>
      <c r="F613">
        <v>1.8</v>
      </c>
      <c r="J613">
        <f>HOUR(Table1[[#This Row],[START_DATE]])</f>
        <v>17</v>
      </c>
      <c r="K613" s="2">
        <f t="shared" si="18"/>
        <v>42582</v>
      </c>
      <c r="L613" t="str">
        <f t="shared" si="19"/>
        <v>Sunday</v>
      </c>
    </row>
    <row r="614" spans="1:12" x14ac:dyDescent="0.35">
      <c r="A614" s="1">
        <v>42583.532638888886</v>
      </c>
      <c r="B614" s="1">
        <v>42583.544444444444</v>
      </c>
      <c r="C614" t="s">
        <v>7</v>
      </c>
      <c r="D614" t="s">
        <v>38</v>
      </c>
      <c r="E614" t="s">
        <v>177</v>
      </c>
      <c r="F614">
        <v>6.2</v>
      </c>
      <c r="J614">
        <f>HOUR(Table1[[#This Row],[START_DATE]])</f>
        <v>12</v>
      </c>
      <c r="K614" s="2">
        <f t="shared" si="18"/>
        <v>42583</v>
      </c>
      <c r="L614" t="str">
        <f t="shared" si="19"/>
        <v>Monday</v>
      </c>
    </row>
    <row r="615" spans="1:12" x14ac:dyDescent="0.35">
      <c r="A615" s="1">
        <v>42583.547222222223</v>
      </c>
      <c r="B615" s="1">
        <v>42583.554861111108</v>
      </c>
      <c r="C615" t="s">
        <v>7</v>
      </c>
      <c r="D615" t="s">
        <v>177</v>
      </c>
      <c r="E615" t="s">
        <v>176</v>
      </c>
      <c r="F615">
        <v>1.3</v>
      </c>
      <c r="J615">
        <f>HOUR(Table1[[#This Row],[START_DATE]])</f>
        <v>13</v>
      </c>
      <c r="K615" s="2">
        <f t="shared" si="18"/>
        <v>42583</v>
      </c>
      <c r="L615" t="str">
        <f t="shared" si="19"/>
        <v>Monday</v>
      </c>
    </row>
    <row r="616" spans="1:12" x14ac:dyDescent="0.35">
      <c r="A616" s="1">
        <v>42583.561111111114</v>
      </c>
      <c r="B616" s="1">
        <v>42583.573611111111</v>
      </c>
      <c r="C616" t="s">
        <v>7</v>
      </c>
      <c r="D616" t="s">
        <v>176</v>
      </c>
      <c r="E616" t="s">
        <v>44</v>
      </c>
      <c r="F616">
        <v>1.9</v>
      </c>
      <c r="J616">
        <f>HOUR(Table1[[#This Row],[START_DATE]])</f>
        <v>13</v>
      </c>
      <c r="K616" s="2">
        <f t="shared" si="18"/>
        <v>42583</v>
      </c>
      <c r="L616" t="str">
        <f t="shared" si="19"/>
        <v>Monday</v>
      </c>
    </row>
    <row r="617" spans="1:12" x14ac:dyDescent="0.35">
      <c r="A617" s="1">
        <v>42583.577777777777</v>
      </c>
      <c r="B617" s="1">
        <v>42583.593055555553</v>
      </c>
      <c r="C617" t="s">
        <v>7</v>
      </c>
      <c r="D617" t="s">
        <v>15</v>
      </c>
      <c r="E617" t="s">
        <v>48</v>
      </c>
      <c r="F617">
        <v>6.9</v>
      </c>
      <c r="J617">
        <f>HOUR(Table1[[#This Row],[START_DATE]])</f>
        <v>13</v>
      </c>
      <c r="K617" s="2">
        <f t="shared" si="18"/>
        <v>42583</v>
      </c>
      <c r="L617" t="str">
        <f t="shared" si="19"/>
        <v>Monday</v>
      </c>
    </row>
    <row r="618" spans="1:12" x14ac:dyDescent="0.35">
      <c r="A618" s="1">
        <v>42583.652777777781</v>
      </c>
      <c r="B618" s="1">
        <v>42583.657638888886</v>
      </c>
      <c r="C618" t="s">
        <v>7</v>
      </c>
      <c r="D618" t="s">
        <v>48</v>
      </c>
      <c r="E618" t="s">
        <v>15</v>
      </c>
      <c r="F618">
        <v>4.5999999999999996</v>
      </c>
      <c r="J618">
        <f>HOUR(Table1[[#This Row],[START_DATE]])</f>
        <v>15</v>
      </c>
      <c r="K618" s="2">
        <f t="shared" si="18"/>
        <v>42583</v>
      </c>
      <c r="L618" t="str">
        <f t="shared" si="19"/>
        <v>Monday</v>
      </c>
    </row>
    <row r="619" spans="1:12" x14ac:dyDescent="0.35">
      <c r="A619" s="1">
        <v>42583.679166666669</v>
      </c>
      <c r="B619" s="1">
        <v>42583.684027777781</v>
      </c>
      <c r="C619" t="s">
        <v>7</v>
      </c>
      <c r="D619" t="s">
        <v>38</v>
      </c>
      <c r="E619" t="s">
        <v>54</v>
      </c>
      <c r="F619">
        <v>2.8</v>
      </c>
      <c r="J619">
        <f>HOUR(Table1[[#This Row],[START_DATE]])</f>
        <v>16</v>
      </c>
      <c r="K619" s="2">
        <f t="shared" si="18"/>
        <v>42583</v>
      </c>
      <c r="L619" t="str">
        <f t="shared" si="19"/>
        <v>Monday</v>
      </c>
    </row>
    <row r="620" spans="1:12" x14ac:dyDescent="0.35">
      <c r="A620" s="1">
        <v>42583.686805555553</v>
      </c>
      <c r="B620" s="1">
        <v>42583.707638888889</v>
      </c>
      <c r="C620" t="s">
        <v>7</v>
      </c>
      <c r="D620" t="s">
        <v>15</v>
      </c>
      <c r="E620" t="s">
        <v>16</v>
      </c>
      <c r="F620">
        <v>9.1</v>
      </c>
      <c r="J620">
        <f>HOUR(Table1[[#This Row],[START_DATE]])</f>
        <v>16</v>
      </c>
      <c r="K620" s="2">
        <f t="shared" si="18"/>
        <v>42583</v>
      </c>
      <c r="L620" t="str">
        <f t="shared" si="19"/>
        <v>Monday</v>
      </c>
    </row>
    <row r="621" spans="1:12" x14ac:dyDescent="0.35">
      <c r="A621" s="1">
        <v>42583.724305555559</v>
      </c>
      <c r="B621" s="1">
        <v>42583.746527777781</v>
      </c>
      <c r="C621" t="s">
        <v>7</v>
      </c>
      <c r="D621" t="s">
        <v>16</v>
      </c>
      <c r="E621" t="s">
        <v>15</v>
      </c>
      <c r="F621">
        <v>8.1</v>
      </c>
      <c r="J621">
        <f>HOUR(Table1[[#This Row],[START_DATE]])</f>
        <v>17</v>
      </c>
      <c r="K621" s="2">
        <f t="shared" si="18"/>
        <v>42583</v>
      </c>
      <c r="L621" t="str">
        <f t="shared" si="19"/>
        <v>Monday</v>
      </c>
    </row>
    <row r="622" spans="1:12" x14ac:dyDescent="0.35">
      <c r="A622" s="1">
        <v>42584.34097222222</v>
      </c>
      <c r="B622" s="1">
        <v>42584.355555555558</v>
      </c>
      <c r="C622" t="s">
        <v>7</v>
      </c>
      <c r="D622" t="s">
        <v>15</v>
      </c>
      <c r="E622" t="s">
        <v>16</v>
      </c>
      <c r="F622">
        <v>8.4</v>
      </c>
      <c r="G622" t="s">
        <v>11</v>
      </c>
      <c r="J622">
        <f>HOUR(Table1[[#This Row],[START_DATE]])</f>
        <v>8</v>
      </c>
      <c r="K622" s="2">
        <f t="shared" si="18"/>
        <v>42584</v>
      </c>
      <c r="L622" t="str">
        <f t="shared" si="19"/>
        <v>Tuesday</v>
      </c>
    </row>
    <row r="623" spans="1:12" x14ac:dyDescent="0.35">
      <c r="A623" s="1">
        <v>42584.493750000001</v>
      </c>
      <c r="B623" s="1">
        <v>42584.510416666664</v>
      </c>
      <c r="C623" t="s">
        <v>7</v>
      </c>
      <c r="D623" t="s">
        <v>178</v>
      </c>
      <c r="E623" t="s">
        <v>179</v>
      </c>
      <c r="F623">
        <v>4.9000000000000004</v>
      </c>
      <c r="J623">
        <f>HOUR(Table1[[#This Row],[START_DATE]])</f>
        <v>11</v>
      </c>
      <c r="K623" s="2">
        <f t="shared" si="18"/>
        <v>42584</v>
      </c>
      <c r="L623" t="str">
        <f t="shared" si="19"/>
        <v>Tuesday</v>
      </c>
    </row>
    <row r="624" spans="1:12" x14ac:dyDescent="0.35">
      <c r="A624" s="1">
        <v>42584.802083333336</v>
      </c>
      <c r="B624" s="1">
        <v>42584.807638888888</v>
      </c>
      <c r="C624" t="s">
        <v>7</v>
      </c>
      <c r="D624" t="s">
        <v>180</v>
      </c>
      <c r="E624" t="s">
        <v>181</v>
      </c>
      <c r="F624">
        <v>1</v>
      </c>
      <c r="J624">
        <f>HOUR(Table1[[#This Row],[START_DATE]])</f>
        <v>19</v>
      </c>
      <c r="K624" s="2">
        <f t="shared" si="18"/>
        <v>42584</v>
      </c>
      <c r="L624" t="str">
        <f t="shared" si="19"/>
        <v>Tuesday</v>
      </c>
    </row>
    <row r="625" spans="1:12" x14ac:dyDescent="0.35">
      <c r="A625" s="1">
        <v>42584.890972222223</v>
      </c>
      <c r="B625" s="1">
        <v>42584.895138888889</v>
      </c>
      <c r="C625" t="s">
        <v>7</v>
      </c>
      <c r="D625" t="s">
        <v>181</v>
      </c>
      <c r="E625" t="s">
        <v>180</v>
      </c>
      <c r="F625">
        <v>1</v>
      </c>
      <c r="J625">
        <f>HOUR(Table1[[#This Row],[START_DATE]])</f>
        <v>21</v>
      </c>
      <c r="K625" s="2">
        <f t="shared" si="18"/>
        <v>42584</v>
      </c>
      <c r="L625" t="str">
        <f t="shared" si="19"/>
        <v>Tuesday</v>
      </c>
    </row>
    <row r="626" spans="1:12" x14ac:dyDescent="0.35">
      <c r="A626" s="1">
        <v>42585.531944444447</v>
      </c>
      <c r="B626" s="1">
        <v>42585.541666666664</v>
      </c>
      <c r="C626" t="s">
        <v>7</v>
      </c>
      <c r="D626" t="s">
        <v>182</v>
      </c>
      <c r="E626" t="s">
        <v>183</v>
      </c>
      <c r="F626">
        <v>2</v>
      </c>
      <c r="J626">
        <f>HOUR(Table1[[#This Row],[START_DATE]])</f>
        <v>12</v>
      </c>
      <c r="K626" s="2">
        <f t="shared" si="18"/>
        <v>42585</v>
      </c>
      <c r="L626" t="str">
        <f t="shared" si="19"/>
        <v>Wednesday</v>
      </c>
    </row>
    <row r="627" spans="1:12" x14ac:dyDescent="0.35">
      <c r="A627" s="1">
        <v>42585.624305555553</v>
      </c>
      <c r="B627" s="1">
        <v>42585.627083333333</v>
      </c>
      <c r="C627" t="s">
        <v>7</v>
      </c>
      <c r="D627" t="s">
        <v>181</v>
      </c>
      <c r="E627" t="s">
        <v>180</v>
      </c>
      <c r="F627">
        <v>1.1000000000000001</v>
      </c>
      <c r="J627">
        <f>HOUR(Table1[[#This Row],[START_DATE]])</f>
        <v>14</v>
      </c>
      <c r="K627" s="2">
        <f t="shared" si="18"/>
        <v>42585</v>
      </c>
      <c r="L627" t="str">
        <f t="shared" si="19"/>
        <v>Wednesday</v>
      </c>
    </row>
    <row r="628" spans="1:12" x14ac:dyDescent="0.35">
      <c r="A628" s="1">
        <v>42585.666666666664</v>
      </c>
      <c r="B628" s="1">
        <v>42585.669444444444</v>
      </c>
      <c r="C628" t="s">
        <v>7</v>
      </c>
      <c r="D628" t="s">
        <v>180</v>
      </c>
      <c r="E628" t="s">
        <v>31</v>
      </c>
      <c r="F628">
        <v>1.5</v>
      </c>
      <c r="J628">
        <f>HOUR(Table1[[#This Row],[START_DATE]])</f>
        <v>16</v>
      </c>
      <c r="K628" s="2">
        <f t="shared" si="18"/>
        <v>42585</v>
      </c>
      <c r="L628" t="str">
        <f t="shared" si="19"/>
        <v>Wednesday</v>
      </c>
    </row>
    <row r="629" spans="1:12" x14ac:dyDescent="0.35">
      <c r="A629" s="1">
        <v>42587.724305555559</v>
      </c>
      <c r="B629" s="1">
        <v>42587.729166666664</v>
      </c>
      <c r="C629" t="s">
        <v>7</v>
      </c>
      <c r="D629" t="s">
        <v>184</v>
      </c>
      <c r="E629" t="s">
        <v>180</v>
      </c>
      <c r="F629">
        <v>1.3</v>
      </c>
      <c r="J629">
        <f>HOUR(Table1[[#This Row],[START_DATE]])</f>
        <v>17</v>
      </c>
      <c r="K629" s="2">
        <f t="shared" si="18"/>
        <v>42587</v>
      </c>
      <c r="L629" t="str">
        <f t="shared" si="19"/>
        <v>Friday</v>
      </c>
    </row>
    <row r="630" spans="1:12" x14ac:dyDescent="0.35">
      <c r="A630" s="1">
        <v>42587.761805555558</v>
      </c>
      <c r="B630" s="1">
        <v>42587.76458333333</v>
      </c>
      <c r="C630" t="s">
        <v>7</v>
      </c>
      <c r="D630" t="s">
        <v>180</v>
      </c>
      <c r="E630" t="s">
        <v>185</v>
      </c>
      <c r="F630">
        <v>1.8</v>
      </c>
      <c r="J630">
        <f>HOUR(Table1[[#This Row],[START_DATE]])</f>
        <v>18</v>
      </c>
      <c r="K630" s="2">
        <f t="shared" si="18"/>
        <v>42587</v>
      </c>
      <c r="L630" t="str">
        <f t="shared" si="19"/>
        <v>Friday</v>
      </c>
    </row>
    <row r="631" spans="1:12" x14ac:dyDescent="0.35">
      <c r="A631" s="1">
        <v>42587.803472222222</v>
      </c>
      <c r="B631" s="1">
        <v>42587.810416666667</v>
      </c>
      <c r="C631" t="s">
        <v>7</v>
      </c>
      <c r="D631" t="s">
        <v>185</v>
      </c>
      <c r="E631" t="s">
        <v>180</v>
      </c>
      <c r="F631">
        <v>1.5</v>
      </c>
      <c r="J631">
        <f>HOUR(Table1[[#This Row],[START_DATE]])</f>
        <v>19</v>
      </c>
      <c r="K631" s="2">
        <f t="shared" si="18"/>
        <v>42587</v>
      </c>
      <c r="L631" t="str">
        <f t="shared" si="19"/>
        <v>Friday</v>
      </c>
    </row>
    <row r="632" spans="1:12" x14ac:dyDescent="0.35">
      <c r="A632" s="1">
        <v>42588.277777777781</v>
      </c>
      <c r="B632" s="1">
        <v>42588.290277777778</v>
      </c>
      <c r="C632" t="s">
        <v>7</v>
      </c>
      <c r="D632" t="s">
        <v>179</v>
      </c>
      <c r="E632" t="s">
        <v>178</v>
      </c>
      <c r="F632">
        <v>6.6</v>
      </c>
      <c r="J632">
        <f>HOUR(Table1[[#This Row],[START_DATE]])</f>
        <v>6</v>
      </c>
      <c r="K632" s="2">
        <f t="shared" si="18"/>
        <v>42588</v>
      </c>
      <c r="L632" t="str">
        <f t="shared" si="19"/>
        <v>Saturday</v>
      </c>
    </row>
    <row r="633" spans="1:12" x14ac:dyDescent="0.35">
      <c r="A633" s="1">
        <v>42588.396527777775</v>
      </c>
      <c r="B633" s="1">
        <v>42588.411805555559</v>
      </c>
      <c r="C633" t="s">
        <v>7</v>
      </c>
      <c r="D633" t="s">
        <v>16</v>
      </c>
      <c r="E633" t="s">
        <v>15</v>
      </c>
      <c r="F633">
        <v>8</v>
      </c>
      <c r="J633">
        <f>HOUR(Table1[[#This Row],[START_DATE]])</f>
        <v>9</v>
      </c>
      <c r="K633" s="2">
        <f t="shared" si="18"/>
        <v>42588</v>
      </c>
      <c r="L633" t="str">
        <f t="shared" si="19"/>
        <v>Saturday</v>
      </c>
    </row>
    <row r="634" spans="1:12" x14ac:dyDescent="0.35">
      <c r="A634" s="1">
        <v>42589.718055555553</v>
      </c>
      <c r="B634" s="1">
        <v>42589.724305555559</v>
      </c>
      <c r="C634" t="s">
        <v>7</v>
      </c>
      <c r="D634" t="s">
        <v>38</v>
      </c>
      <c r="E634" t="s">
        <v>54</v>
      </c>
      <c r="F634">
        <v>2.7</v>
      </c>
      <c r="J634">
        <f>HOUR(Table1[[#This Row],[START_DATE]])</f>
        <v>17</v>
      </c>
      <c r="K634" s="2">
        <f t="shared" si="18"/>
        <v>42589</v>
      </c>
      <c r="L634" t="str">
        <f t="shared" si="19"/>
        <v>Sunday</v>
      </c>
    </row>
    <row r="635" spans="1:12" x14ac:dyDescent="0.35">
      <c r="A635" s="1">
        <v>42589.727777777778</v>
      </c>
      <c r="B635" s="1">
        <v>42589.738194444442</v>
      </c>
      <c r="C635" t="s">
        <v>7</v>
      </c>
      <c r="D635" t="s">
        <v>54</v>
      </c>
      <c r="E635" t="s">
        <v>38</v>
      </c>
      <c r="F635">
        <v>2.7</v>
      </c>
      <c r="G635" t="s">
        <v>13</v>
      </c>
      <c r="J635">
        <f>HOUR(Table1[[#This Row],[START_DATE]])</f>
        <v>17</v>
      </c>
      <c r="K635" s="2">
        <f t="shared" si="18"/>
        <v>42589</v>
      </c>
      <c r="L635" t="str">
        <f t="shared" si="19"/>
        <v>Sunday</v>
      </c>
    </row>
    <row r="636" spans="1:12" x14ac:dyDescent="0.35">
      <c r="A636" s="1">
        <v>42589.761805555558</v>
      </c>
      <c r="B636" s="1">
        <v>42589.765972222223</v>
      </c>
      <c r="C636" t="s">
        <v>7</v>
      </c>
      <c r="D636" t="s">
        <v>15</v>
      </c>
      <c r="E636" t="s">
        <v>16</v>
      </c>
      <c r="F636">
        <v>2.5</v>
      </c>
      <c r="J636">
        <f>HOUR(Table1[[#This Row],[START_DATE]])</f>
        <v>18</v>
      </c>
      <c r="K636" s="2">
        <f t="shared" si="18"/>
        <v>42589</v>
      </c>
      <c r="L636" t="str">
        <f t="shared" si="19"/>
        <v>Sunday</v>
      </c>
    </row>
    <row r="637" spans="1:12" x14ac:dyDescent="0.35">
      <c r="A637" s="1">
        <v>42589.84375</v>
      </c>
      <c r="B637" s="1">
        <v>42589.849305555559</v>
      </c>
      <c r="C637" t="s">
        <v>7</v>
      </c>
      <c r="D637" t="s">
        <v>16</v>
      </c>
      <c r="E637" t="s">
        <v>15</v>
      </c>
      <c r="F637">
        <v>2.5</v>
      </c>
      <c r="G637" t="s">
        <v>9</v>
      </c>
      <c r="J637">
        <f>HOUR(Table1[[#This Row],[START_DATE]])</f>
        <v>20</v>
      </c>
      <c r="K637" s="2">
        <f t="shared" si="18"/>
        <v>42589</v>
      </c>
      <c r="L637" t="str">
        <f t="shared" si="19"/>
        <v>Sunday</v>
      </c>
    </row>
    <row r="638" spans="1:12" x14ac:dyDescent="0.35">
      <c r="A638" s="1">
        <v>42590.678472222222</v>
      </c>
      <c r="B638" s="1">
        <v>42590.688194444447</v>
      </c>
      <c r="C638" t="s">
        <v>7</v>
      </c>
      <c r="D638" t="s">
        <v>38</v>
      </c>
      <c r="E638" t="s">
        <v>37</v>
      </c>
      <c r="F638">
        <v>5.2</v>
      </c>
      <c r="J638">
        <f>HOUR(Table1[[#This Row],[START_DATE]])</f>
        <v>16</v>
      </c>
      <c r="K638" s="2">
        <f t="shared" si="18"/>
        <v>42590</v>
      </c>
      <c r="L638" t="str">
        <f t="shared" si="19"/>
        <v>Monday</v>
      </c>
    </row>
    <row r="639" spans="1:12" x14ac:dyDescent="0.35">
      <c r="A639" s="1">
        <v>42590.692361111112</v>
      </c>
      <c r="B639" s="1">
        <v>42590.701388888891</v>
      </c>
      <c r="C639" t="s">
        <v>7</v>
      </c>
      <c r="D639" t="s">
        <v>37</v>
      </c>
      <c r="E639" t="s">
        <v>54</v>
      </c>
      <c r="F639">
        <v>4</v>
      </c>
      <c r="J639">
        <f>HOUR(Table1[[#This Row],[START_DATE]])</f>
        <v>16</v>
      </c>
      <c r="K639" s="2">
        <f t="shared" si="18"/>
        <v>42590</v>
      </c>
      <c r="L639" t="str">
        <f t="shared" si="19"/>
        <v>Monday</v>
      </c>
    </row>
    <row r="640" spans="1:12" x14ac:dyDescent="0.35">
      <c r="A640" s="1">
        <v>42590.709722222222</v>
      </c>
      <c r="B640" s="1">
        <v>42590.717361111114</v>
      </c>
      <c r="C640" t="s">
        <v>7</v>
      </c>
      <c r="D640" t="s">
        <v>54</v>
      </c>
      <c r="E640" t="s">
        <v>38</v>
      </c>
      <c r="F640">
        <v>2.7</v>
      </c>
      <c r="G640" t="s">
        <v>13</v>
      </c>
      <c r="J640">
        <f>HOUR(Table1[[#This Row],[START_DATE]])</f>
        <v>17</v>
      </c>
      <c r="K640" s="2">
        <f t="shared" si="18"/>
        <v>42590</v>
      </c>
      <c r="L640" t="str">
        <f t="shared" si="19"/>
        <v>Monday</v>
      </c>
    </row>
    <row r="641" spans="1:12" x14ac:dyDescent="0.35">
      <c r="A641" s="1">
        <v>42590.909722222219</v>
      </c>
      <c r="B641" s="1">
        <v>42590.927083333336</v>
      </c>
      <c r="C641" t="s">
        <v>7</v>
      </c>
      <c r="D641" t="s">
        <v>15</v>
      </c>
      <c r="E641" t="s">
        <v>16</v>
      </c>
      <c r="F641">
        <v>4.8</v>
      </c>
      <c r="J641">
        <f>HOUR(Table1[[#This Row],[START_DATE]])</f>
        <v>21</v>
      </c>
      <c r="K641" s="2">
        <f t="shared" si="18"/>
        <v>42590</v>
      </c>
      <c r="L641" t="str">
        <f t="shared" si="19"/>
        <v>Monday</v>
      </c>
    </row>
    <row r="642" spans="1:12" x14ac:dyDescent="0.35">
      <c r="A642" s="1">
        <v>42590.977777777778</v>
      </c>
      <c r="B642" s="1">
        <v>42590.984027777777</v>
      </c>
      <c r="C642" t="s">
        <v>7</v>
      </c>
      <c r="D642" t="s">
        <v>16</v>
      </c>
      <c r="E642" t="s">
        <v>15</v>
      </c>
      <c r="F642">
        <v>3.2</v>
      </c>
      <c r="G642" t="s">
        <v>13</v>
      </c>
      <c r="J642">
        <f>HOUR(Table1[[#This Row],[START_DATE]])</f>
        <v>23</v>
      </c>
      <c r="K642" s="2">
        <f t="shared" si="18"/>
        <v>42590</v>
      </c>
      <c r="L642" t="str">
        <f t="shared" si="19"/>
        <v>Monday</v>
      </c>
    </row>
    <row r="643" spans="1:12" x14ac:dyDescent="0.35">
      <c r="A643" s="1">
        <v>42591.597222222219</v>
      </c>
      <c r="B643" s="1">
        <v>42591.609722222223</v>
      </c>
      <c r="C643" t="s">
        <v>7</v>
      </c>
      <c r="D643" t="s">
        <v>38</v>
      </c>
      <c r="E643" t="s">
        <v>72</v>
      </c>
      <c r="F643">
        <v>6.9</v>
      </c>
      <c r="J643">
        <f>HOUR(Table1[[#This Row],[START_DATE]])</f>
        <v>14</v>
      </c>
      <c r="K643" s="2">
        <f t="shared" ref="K643:K706" si="20">DATE(YEAR(A643), MONTH(A643), DAY(A643))</f>
        <v>42591</v>
      </c>
      <c r="L643" t="str">
        <f t="shared" ref="L643:L706" si="21">TEXT(A643,"dddd")</f>
        <v>Tuesday</v>
      </c>
    </row>
    <row r="644" spans="1:12" x14ac:dyDescent="0.35">
      <c r="A644" s="1">
        <v>42591.635416666664</v>
      </c>
      <c r="B644" s="1">
        <v>42591.65</v>
      </c>
      <c r="C644" t="s">
        <v>7</v>
      </c>
      <c r="D644" t="s">
        <v>15</v>
      </c>
      <c r="E644" t="s">
        <v>40</v>
      </c>
      <c r="F644">
        <v>14.9</v>
      </c>
      <c r="J644">
        <f>HOUR(Table1[[#This Row],[START_DATE]])</f>
        <v>15</v>
      </c>
      <c r="K644" s="2">
        <f t="shared" si="20"/>
        <v>42591</v>
      </c>
      <c r="L644" t="str">
        <f t="shared" si="21"/>
        <v>Tuesday</v>
      </c>
    </row>
    <row r="645" spans="1:12" x14ac:dyDescent="0.35">
      <c r="A645" s="1">
        <v>42591.669444444444</v>
      </c>
      <c r="B645" s="1">
        <v>42591.692361111112</v>
      </c>
      <c r="C645" t="s">
        <v>7</v>
      </c>
      <c r="D645" t="s">
        <v>40</v>
      </c>
      <c r="E645" t="s">
        <v>15</v>
      </c>
      <c r="F645">
        <v>17.399999999999999</v>
      </c>
      <c r="J645">
        <f>HOUR(Table1[[#This Row],[START_DATE]])</f>
        <v>16</v>
      </c>
      <c r="K645" s="2">
        <f t="shared" si="20"/>
        <v>42591</v>
      </c>
      <c r="L645" t="str">
        <f t="shared" si="21"/>
        <v>Tuesday</v>
      </c>
    </row>
    <row r="646" spans="1:12" x14ac:dyDescent="0.35">
      <c r="A646" s="1">
        <v>42592.705555555556</v>
      </c>
      <c r="B646" s="1">
        <v>42592.724999999999</v>
      </c>
      <c r="C646" t="s">
        <v>7</v>
      </c>
      <c r="D646" t="s">
        <v>15</v>
      </c>
      <c r="E646" t="s">
        <v>36</v>
      </c>
      <c r="F646">
        <v>12.9</v>
      </c>
      <c r="J646">
        <f>HOUR(Table1[[#This Row],[START_DATE]])</f>
        <v>16</v>
      </c>
      <c r="K646" s="2">
        <f t="shared" si="20"/>
        <v>42592</v>
      </c>
      <c r="L646" t="str">
        <f t="shared" si="21"/>
        <v>Wednesday</v>
      </c>
    </row>
    <row r="647" spans="1:12" x14ac:dyDescent="0.35">
      <c r="A647" s="1">
        <v>42592.745138888888</v>
      </c>
      <c r="B647" s="1">
        <v>42592.769444444442</v>
      </c>
      <c r="C647" t="s">
        <v>7</v>
      </c>
      <c r="D647" t="s">
        <v>36</v>
      </c>
      <c r="E647" t="s">
        <v>48</v>
      </c>
      <c r="F647">
        <v>15.3</v>
      </c>
      <c r="J647">
        <f>HOUR(Table1[[#This Row],[START_DATE]])</f>
        <v>17</v>
      </c>
      <c r="K647" s="2">
        <f t="shared" si="20"/>
        <v>42592</v>
      </c>
      <c r="L647" t="str">
        <f t="shared" si="21"/>
        <v>Wednesday</v>
      </c>
    </row>
    <row r="648" spans="1:12" x14ac:dyDescent="0.35">
      <c r="A648" s="1">
        <v>42592.78402777778</v>
      </c>
      <c r="B648" s="1">
        <v>42592.784722222219</v>
      </c>
      <c r="C648" t="s">
        <v>7</v>
      </c>
      <c r="D648" t="s">
        <v>48</v>
      </c>
      <c r="E648" t="s">
        <v>48</v>
      </c>
      <c r="F648">
        <v>1</v>
      </c>
      <c r="J648">
        <f>HOUR(Table1[[#This Row],[START_DATE]])</f>
        <v>18</v>
      </c>
      <c r="K648" s="2">
        <f t="shared" si="20"/>
        <v>42592</v>
      </c>
      <c r="L648" t="str">
        <f t="shared" si="21"/>
        <v>Wednesday</v>
      </c>
    </row>
    <row r="649" spans="1:12" x14ac:dyDescent="0.35">
      <c r="A649" s="1">
        <v>42592.824305555558</v>
      </c>
      <c r="B649" s="1">
        <v>42592.834722222222</v>
      </c>
      <c r="C649" t="s">
        <v>7</v>
      </c>
      <c r="D649" t="s">
        <v>48</v>
      </c>
      <c r="E649" t="s">
        <v>15</v>
      </c>
      <c r="F649">
        <v>6</v>
      </c>
      <c r="J649">
        <f>HOUR(Table1[[#This Row],[START_DATE]])</f>
        <v>19</v>
      </c>
      <c r="K649" s="2">
        <f t="shared" si="20"/>
        <v>42592</v>
      </c>
      <c r="L649" t="str">
        <f t="shared" si="21"/>
        <v>Wednesday</v>
      </c>
    </row>
    <row r="650" spans="1:12" x14ac:dyDescent="0.35">
      <c r="A650" s="1">
        <v>42593.536805555559</v>
      </c>
      <c r="B650" s="1">
        <v>42593.541666666664</v>
      </c>
      <c r="C650" t="s">
        <v>7</v>
      </c>
      <c r="D650" t="s">
        <v>38</v>
      </c>
      <c r="E650" t="s">
        <v>71</v>
      </c>
      <c r="F650">
        <v>2.2000000000000002</v>
      </c>
      <c r="J650">
        <f>HOUR(Table1[[#This Row],[START_DATE]])</f>
        <v>12</v>
      </c>
      <c r="K650" s="2">
        <f t="shared" si="20"/>
        <v>42593</v>
      </c>
      <c r="L650" t="str">
        <f t="shared" si="21"/>
        <v>Thursday</v>
      </c>
    </row>
    <row r="651" spans="1:12" x14ac:dyDescent="0.35">
      <c r="A651" s="1">
        <v>42593.551388888889</v>
      </c>
      <c r="B651" s="1">
        <v>42593.561111111114</v>
      </c>
      <c r="C651" t="s">
        <v>7</v>
      </c>
      <c r="D651" t="s">
        <v>71</v>
      </c>
      <c r="E651" t="s">
        <v>54</v>
      </c>
      <c r="F651">
        <v>4.4000000000000004</v>
      </c>
      <c r="J651">
        <f>HOUR(Table1[[#This Row],[START_DATE]])</f>
        <v>13</v>
      </c>
      <c r="K651" s="2">
        <f t="shared" si="20"/>
        <v>42593</v>
      </c>
      <c r="L651" t="str">
        <f t="shared" si="21"/>
        <v>Thursday</v>
      </c>
    </row>
    <row r="652" spans="1:12" x14ac:dyDescent="0.35">
      <c r="A652" s="1">
        <v>42593.563888888886</v>
      </c>
      <c r="B652" s="1">
        <v>42593.570833333331</v>
      </c>
      <c r="C652" t="s">
        <v>7</v>
      </c>
      <c r="D652" t="s">
        <v>54</v>
      </c>
      <c r="E652" t="s">
        <v>38</v>
      </c>
      <c r="F652">
        <v>2.8</v>
      </c>
      <c r="J652">
        <f>HOUR(Table1[[#This Row],[START_DATE]])</f>
        <v>13</v>
      </c>
      <c r="K652" s="2">
        <f t="shared" si="20"/>
        <v>42593</v>
      </c>
      <c r="L652" t="str">
        <f t="shared" si="21"/>
        <v>Thursday</v>
      </c>
    </row>
    <row r="653" spans="1:12" x14ac:dyDescent="0.35">
      <c r="A653" s="1">
        <v>42593.775694444441</v>
      </c>
      <c r="B653" s="1">
        <v>42593.811805555553</v>
      </c>
      <c r="C653" t="s">
        <v>7</v>
      </c>
      <c r="D653" t="s">
        <v>15</v>
      </c>
      <c r="E653" t="s">
        <v>186</v>
      </c>
      <c r="F653">
        <v>31.7</v>
      </c>
      <c r="J653">
        <f>HOUR(Table1[[#This Row],[START_DATE]])</f>
        <v>18</v>
      </c>
      <c r="K653" s="2">
        <f t="shared" si="20"/>
        <v>42593</v>
      </c>
      <c r="L653" t="str">
        <f t="shared" si="21"/>
        <v>Thursday</v>
      </c>
    </row>
    <row r="654" spans="1:12" x14ac:dyDescent="0.35">
      <c r="A654" s="1">
        <v>42593.874305555553</v>
      </c>
      <c r="B654" s="1">
        <v>42593.905555555553</v>
      </c>
      <c r="C654" t="s">
        <v>7</v>
      </c>
      <c r="D654" t="s">
        <v>186</v>
      </c>
      <c r="E654" t="s">
        <v>15</v>
      </c>
      <c r="F654">
        <v>31.9</v>
      </c>
      <c r="J654">
        <f>HOUR(Table1[[#This Row],[START_DATE]])</f>
        <v>20</v>
      </c>
      <c r="K654" s="2">
        <f t="shared" si="20"/>
        <v>42593</v>
      </c>
      <c r="L654" t="str">
        <f t="shared" si="21"/>
        <v>Thursday</v>
      </c>
    </row>
    <row r="655" spans="1:12" x14ac:dyDescent="0.35">
      <c r="A655" s="1">
        <v>42594.78402777778</v>
      </c>
      <c r="B655" s="1">
        <v>42594.786111111112</v>
      </c>
      <c r="C655" t="s">
        <v>7</v>
      </c>
      <c r="D655" t="s">
        <v>38</v>
      </c>
      <c r="E655" t="s">
        <v>44</v>
      </c>
      <c r="F655">
        <v>1.9</v>
      </c>
      <c r="J655">
        <f>HOUR(Table1[[#This Row],[START_DATE]])</f>
        <v>18</v>
      </c>
      <c r="K655" s="2">
        <f t="shared" si="20"/>
        <v>42594</v>
      </c>
      <c r="L655" t="str">
        <f t="shared" si="21"/>
        <v>Friday</v>
      </c>
    </row>
    <row r="656" spans="1:12" x14ac:dyDescent="0.35">
      <c r="A656" s="1">
        <v>42594.788888888892</v>
      </c>
      <c r="B656" s="1">
        <v>42594.795138888891</v>
      </c>
      <c r="C656" t="s">
        <v>7</v>
      </c>
      <c r="D656" t="s">
        <v>44</v>
      </c>
      <c r="E656" t="s">
        <v>38</v>
      </c>
      <c r="F656">
        <v>1.8</v>
      </c>
      <c r="J656">
        <f>HOUR(Table1[[#This Row],[START_DATE]])</f>
        <v>18</v>
      </c>
      <c r="K656" s="2">
        <f t="shared" si="20"/>
        <v>42594</v>
      </c>
      <c r="L656" t="str">
        <f t="shared" si="21"/>
        <v>Friday</v>
      </c>
    </row>
    <row r="657" spans="1:12" x14ac:dyDescent="0.35">
      <c r="A657" s="1">
        <v>42595.649305555555</v>
      </c>
      <c r="B657" s="1">
        <v>42595.665277777778</v>
      </c>
      <c r="C657" t="s">
        <v>7</v>
      </c>
      <c r="D657" t="s">
        <v>15</v>
      </c>
      <c r="E657" t="s">
        <v>16</v>
      </c>
      <c r="F657">
        <v>8.4</v>
      </c>
      <c r="G657" t="s">
        <v>11</v>
      </c>
      <c r="J657">
        <f>HOUR(Table1[[#This Row],[START_DATE]])</f>
        <v>15</v>
      </c>
      <c r="K657" s="2">
        <f t="shared" si="20"/>
        <v>42595</v>
      </c>
      <c r="L657" t="str">
        <f t="shared" si="21"/>
        <v>Saturday</v>
      </c>
    </row>
    <row r="658" spans="1:12" x14ac:dyDescent="0.35">
      <c r="A658" s="1">
        <v>42597.378472222219</v>
      </c>
      <c r="B658" s="1">
        <v>42597.411111111112</v>
      </c>
      <c r="C658" t="s">
        <v>7</v>
      </c>
      <c r="D658" t="s">
        <v>69</v>
      </c>
      <c r="E658" t="s">
        <v>65</v>
      </c>
      <c r="F658">
        <v>15.6</v>
      </c>
      <c r="J658">
        <f>HOUR(Table1[[#This Row],[START_DATE]])</f>
        <v>9</v>
      </c>
      <c r="K658" s="2">
        <f t="shared" si="20"/>
        <v>42597</v>
      </c>
      <c r="L658" t="str">
        <f t="shared" si="21"/>
        <v>Monday</v>
      </c>
    </row>
    <row r="659" spans="1:12" x14ac:dyDescent="0.35">
      <c r="A659" s="1">
        <v>42597.638888888891</v>
      </c>
      <c r="B659" s="1">
        <v>42597.657638888886</v>
      </c>
      <c r="C659" t="s">
        <v>7</v>
      </c>
      <c r="D659" t="s">
        <v>65</v>
      </c>
      <c r="E659" t="s">
        <v>65</v>
      </c>
      <c r="F659">
        <v>14.1</v>
      </c>
      <c r="J659">
        <f>HOUR(Table1[[#This Row],[START_DATE]])</f>
        <v>15</v>
      </c>
      <c r="K659" s="2">
        <f t="shared" si="20"/>
        <v>42597</v>
      </c>
      <c r="L659" t="str">
        <f t="shared" si="21"/>
        <v>Monday</v>
      </c>
    </row>
    <row r="660" spans="1:12" x14ac:dyDescent="0.35">
      <c r="A660" s="1">
        <v>42597.702777777777</v>
      </c>
      <c r="B660" s="1">
        <v>42597.729166666664</v>
      </c>
      <c r="C660" t="s">
        <v>7</v>
      </c>
      <c r="D660" t="s">
        <v>65</v>
      </c>
      <c r="E660" t="s">
        <v>65</v>
      </c>
      <c r="F660">
        <v>15.7</v>
      </c>
      <c r="J660">
        <f>HOUR(Table1[[#This Row],[START_DATE]])</f>
        <v>16</v>
      </c>
      <c r="K660" s="2">
        <f t="shared" si="20"/>
        <v>42597</v>
      </c>
      <c r="L660" t="str">
        <f t="shared" si="21"/>
        <v>Monday</v>
      </c>
    </row>
    <row r="661" spans="1:12" x14ac:dyDescent="0.35">
      <c r="A661" s="1">
        <v>42597.797222222223</v>
      </c>
      <c r="B661" s="1">
        <v>42597.854166666664</v>
      </c>
      <c r="C661" t="s">
        <v>7</v>
      </c>
      <c r="D661" t="s">
        <v>65</v>
      </c>
      <c r="E661" t="s">
        <v>65</v>
      </c>
      <c r="F661">
        <v>25.9</v>
      </c>
      <c r="G661" t="s">
        <v>24</v>
      </c>
      <c r="J661">
        <f>HOUR(Table1[[#This Row],[START_DATE]])</f>
        <v>19</v>
      </c>
      <c r="K661" s="2">
        <f t="shared" si="20"/>
        <v>42597</v>
      </c>
      <c r="L661" t="str">
        <f t="shared" si="21"/>
        <v>Monday</v>
      </c>
    </row>
    <row r="662" spans="1:12" x14ac:dyDescent="0.35">
      <c r="A662" s="1">
        <v>42598.331944444442</v>
      </c>
      <c r="B662" s="1">
        <v>42598.34097222222</v>
      </c>
      <c r="C662" t="s">
        <v>7</v>
      </c>
      <c r="D662" t="s">
        <v>65</v>
      </c>
      <c r="E662" t="s">
        <v>65</v>
      </c>
      <c r="F662">
        <v>7.9</v>
      </c>
      <c r="J662">
        <f>HOUR(Table1[[#This Row],[START_DATE]])</f>
        <v>7</v>
      </c>
      <c r="K662" s="2">
        <f t="shared" si="20"/>
        <v>42598</v>
      </c>
      <c r="L662" t="str">
        <f t="shared" si="21"/>
        <v>Tuesday</v>
      </c>
    </row>
    <row r="663" spans="1:12" x14ac:dyDescent="0.35">
      <c r="A663" s="1">
        <v>42598.344444444447</v>
      </c>
      <c r="B663" s="1">
        <v>42598.349305555559</v>
      </c>
      <c r="C663" t="s">
        <v>7</v>
      </c>
      <c r="D663" t="s">
        <v>65</v>
      </c>
      <c r="E663" t="s">
        <v>65</v>
      </c>
      <c r="F663">
        <v>2.7</v>
      </c>
      <c r="J663">
        <f>HOUR(Table1[[#This Row],[START_DATE]])</f>
        <v>8</v>
      </c>
      <c r="K663" s="2">
        <f t="shared" si="20"/>
        <v>42598</v>
      </c>
      <c r="L663" t="str">
        <f t="shared" si="21"/>
        <v>Tuesday</v>
      </c>
    </row>
    <row r="664" spans="1:12" x14ac:dyDescent="0.35">
      <c r="A664" s="1">
        <v>42598.365277777775</v>
      </c>
      <c r="B664" s="1">
        <v>42598.370138888888</v>
      </c>
      <c r="C664" t="s">
        <v>7</v>
      </c>
      <c r="D664" t="s">
        <v>65</v>
      </c>
      <c r="E664" t="s">
        <v>65</v>
      </c>
      <c r="F664">
        <v>5.5</v>
      </c>
      <c r="J664">
        <f>HOUR(Table1[[#This Row],[START_DATE]])</f>
        <v>8</v>
      </c>
      <c r="K664" s="2">
        <f t="shared" si="20"/>
        <v>42598</v>
      </c>
      <c r="L664" t="str">
        <f t="shared" si="21"/>
        <v>Tuesday</v>
      </c>
    </row>
    <row r="665" spans="1:12" x14ac:dyDescent="0.35">
      <c r="A665" s="1">
        <v>42598.42083333333</v>
      </c>
      <c r="B665" s="1">
        <v>42598.435416666667</v>
      </c>
      <c r="C665" t="s">
        <v>7</v>
      </c>
      <c r="D665" t="s">
        <v>65</v>
      </c>
      <c r="E665" t="s">
        <v>68</v>
      </c>
      <c r="F665">
        <v>5.7</v>
      </c>
      <c r="J665">
        <f>HOUR(Table1[[#This Row],[START_DATE]])</f>
        <v>10</v>
      </c>
      <c r="K665" s="2">
        <f t="shared" si="20"/>
        <v>42598</v>
      </c>
      <c r="L665" t="str">
        <f t="shared" si="21"/>
        <v>Tuesday</v>
      </c>
    </row>
    <row r="666" spans="1:12" x14ac:dyDescent="0.35">
      <c r="A666" s="1">
        <v>42598.438194444447</v>
      </c>
      <c r="B666" s="1">
        <v>42598.443055555559</v>
      </c>
      <c r="C666" t="s">
        <v>7</v>
      </c>
      <c r="D666" t="s">
        <v>68</v>
      </c>
      <c r="E666" t="s">
        <v>68</v>
      </c>
      <c r="F666">
        <v>1.2</v>
      </c>
      <c r="J666">
        <f>HOUR(Table1[[#This Row],[START_DATE]])</f>
        <v>10</v>
      </c>
      <c r="K666" s="2">
        <f t="shared" si="20"/>
        <v>42598</v>
      </c>
      <c r="L666" t="str">
        <f t="shared" si="21"/>
        <v>Tuesday</v>
      </c>
    </row>
    <row r="667" spans="1:12" x14ac:dyDescent="0.35">
      <c r="A667" s="1">
        <v>42598.490972222222</v>
      </c>
      <c r="B667" s="1">
        <v>42598.502083333333</v>
      </c>
      <c r="C667" t="s">
        <v>7</v>
      </c>
      <c r="D667" t="s">
        <v>68</v>
      </c>
      <c r="E667" t="s">
        <v>65</v>
      </c>
      <c r="F667">
        <v>5.7</v>
      </c>
      <c r="G667" t="s">
        <v>24</v>
      </c>
      <c r="J667">
        <f>HOUR(Table1[[#This Row],[START_DATE]])</f>
        <v>11</v>
      </c>
      <c r="K667" s="2">
        <f t="shared" si="20"/>
        <v>42598</v>
      </c>
      <c r="L667" t="str">
        <f t="shared" si="21"/>
        <v>Tuesday</v>
      </c>
    </row>
    <row r="668" spans="1:12" x14ac:dyDescent="0.35">
      <c r="A668" s="1">
        <v>42598.634027777778</v>
      </c>
      <c r="B668" s="1">
        <v>42598.65</v>
      </c>
      <c r="C668" t="s">
        <v>7</v>
      </c>
      <c r="D668" t="s">
        <v>65</v>
      </c>
      <c r="E668" t="s">
        <v>65</v>
      </c>
      <c r="F668">
        <v>16.2</v>
      </c>
      <c r="J668">
        <f>HOUR(Table1[[#This Row],[START_DATE]])</f>
        <v>15</v>
      </c>
      <c r="K668" s="2">
        <f t="shared" si="20"/>
        <v>42598</v>
      </c>
      <c r="L668" t="str">
        <f t="shared" si="21"/>
        <v>Tuesday</v>
      </c>
    </row>
    <row r="669" spans="1:12" x14ac:dyDescent="0.35">
      <c r="A669" s="1">
        <v>42599.428472222222</v>
      </c>
      <c r="B669" s="1">
        <v>42599.445138888892</v>
      </c>
      <c r="C669" t="s">
        <v>7</v>
      </c>
      <c r="D669" t="s">
        <v>65</v>
      </c>
      <c r="E669" t="s">
        <v>65</v>
      </c>
      <c r="F669">
        <v>2.6</v>
      </c>
      <c r="J669">
        <f>HOUR(Table1[[#This Row],[START_DATE]])</f>
        <v>10</v>
      </c>
      <c r="K669" s="2">
        <f t="shared" si="20"/>
        <v>42599</v>
      </c>
      <c r="L669" t="str">
        <f t="shared" si="21"/>
        <v>Wednesday</v>
      </c>
    </row>
    <row r="670" spans="1:12" x14ac:dyDescent="0.35">
      <c r="A670" s="1">
        <v>42599.456250000003</v>
      </c>
      <c r="B670" s="1">
        <v>42599.472222222219</v>
      </c>
      <c r="C670" t="s">
        <v>7</v>
      </c>
      <c r="D670" t="s">
        <v>65</v>
      </c>
      <c r="E670" t="s">
        <v>65</v>
      </c>
      <c r="F670">
        <v>12.1</v>
      </c>
      <c r="J670">
        <f>HOUR(Table1[[#This Row],[START_DATE]])</f>
        <v>10</v>
      </c>
      <c r="K670" s="2">
        <f t="shared" si="20"/>
        <v>42599</v>
      </c>
      <c r="L670" t="str">
        <f t="shared" si="21"/>
        <v>Wednesday</v>
      </c>
    </row>
    <row r="671" spans="1:12" x14ac:dyDescent="0.35">
      <c r="A671" s="1">
        <v>42599.614583333336</v>
      </c>
      <c r="B671" s="1">
        <v>42599.618055555555</v>
      </c>
      <c r="C671" t="s">
        <v>7</v>
      </c>
      <c r="D671" t="s">
        <v>65</v>
      </c>
      <c r="E671" t="s">
        <v>69</v>
      </c>
      <c r="F671">
        <v>1.4</v>
      </c>
      <c r="J671">
        <f>HOUR(Table1[[#This Row],[START_DATE]])</f>
        <v>14</v>
      </c>
      <c r="K671" s="2">
        <f t="shared" si="20"/>
        <v>42599</v>
      </c>
      <c r="L671" t="str">
        <f t="shared" si="21"/>
        <v>Wednesday</v>
      </c>
    </row>
    <row r="672" spans="1:12" x14ac:dyDescent="0.35">
      <c r="A672" s="1">
        <v>42599.647222222222</v>
      </c>
      <c r="B672" s="1">
        <v>42599.657638888886</v>
      </c>
      <c r="C672" t="s">
        <v>7</v>
      </c>
      <c r="D672" t="s">
        <v>69</v>
      </c>
      <c r="E672" t="s">
        <v>68</v>
      </c>
      <c r="F672">
        <v>6.4</v>
      </c>
      <c r="J672">
        <f>HOUR(Table1[[#This Row],[START_DATE]])</f>
        <v>15</v>
      </c>
      <c r="K672" s="2">
        <f t="shared" si="20"/>
        <v>42599</v>
      </c>
      <c r="L672" t="str">
        <f t="shared" si="21"/>
        <v>Wednesday</v>
      </c>
    </row>
    <row r="673" spans="1:12" x14ac:dyDescent="0.35">
      <c r="A673" s="1">
        <v>42599.686805555553</v>
      </c>
      <c r="B673" s="1">
        <v>42599.701388888891</v>
      </c>
      <c r="C673" t="s">
        <v>7</v>
      </c>
      <c r="D673" t="s">
        <v>68</v>
      </c>
      <c r="E673" t="s">
        <v>65</v>
      </c>
      <c r="F673">
        <v>7.3</v>
      </c>
      <c r="J673">
        <f>HOUR(Table1[[#This Row],[START_DATE]])</f>
        <v>16</v>
      </c>
      <c r="K673" s="2">
        <f t="shared" si="20"/>
        <v>42599</v>
      </c>
      <c r="L673" t="str">
        <f t="shared" si="21"/>
        <v>Wednesday</v>
      </c>
    </row>
    <row r="674" spans="1:12" x14ac:dyDescent="0.35">
      <c r="A674" s="1">
        <v>42599.70416666667</v>
      </c>
      <c r="B674" s="1">
        <v>42599.708333333336</v>
      </c>
      <c r="C674" t="s">
        <v>7</v>
      </c>
      <c r="D674" t="s">
        <v>65</v>
      </c>
      <c r="E674" t="s">
        <v>65</v>
      </c>
      <c r="F674">
        <v>5.3</v>
      </c>
      <c r="J674">
        <f>HOUR(Table1[[#This Row],[START_DATE]])</f>
        <v>16</v>
      </c>
      <c r="K674" s="2">
        <f t="shared" si="20"/>
        <v>42599</v>
      </c>
      <c r="L674" t="str">
        <f t="shared" si="21"/>
        <v>Wednesday</v>
      </c>
    </row>
    <row r="675" spans="1:12" x14ac:dyDescent="0.35">
      <c r="A675" s="1">
        <v>42599.711805555555</v>
      </c>
      <c r="B675" s="1">
        <v>42599.731944444444</v>
      </c>
      <c r="C675" t="s">
        <v>7</v>
      </c>
      <c r="D675" t="s">
        <v>65</v>
      </c>
      <c r="E675" t="s">
        <v>65</v>
      </c>
      <c r="F675">
        <v>5.5</v>
      </c>
      <c r="J675">
        <f>HOUR(Table1[[#This Row],[START_DATE]])</f>
        <v>17</v>
      </c>
      <c r="K675" s="2">
        <f t="shared" si="20"/>
        <v>42599</v>
      </c>
      <c r="L675" t="str">
        <f t="shared" si="21"/>
        <v>Wednesday</v>
      </c>
    </row>
    <row r="676" spans="1:12" x14ac:dyDescent="0.35">
      <c r="A676" s="1">
        <v>42599.776388888888</v>
      </c>
      <c r="B676" s="1">
        <v>42599.789583333331</v>
      </c>
      <c r="C676" t="s">
        <v>7</v>
      </c>
      <c r="D676" t="s">
        <v>65</v>
      </c>
      <c r="E676" t="s">
        <v>65</v>
      </c>
      <c r="F676">
        <v>7.7</v>
      </c>
      <c r="G676" t="s">
        <v>24</v>
      </c>
      <c r="J676">
        <f>HOUR(Table1[[#This Row],[START_DATE]])</f>
        <v>18</v>
      </c>
      <c r="K676" s="2">
        <f t="shared" si="20"/>
        <v>42599</v>
      </c>
      <c r="L676" t="str">
        <f t="shared" si="21"/>
        <v>Wednesday</v>
      </c>
    </row>
    <row r="677" spans="1:12" x14ac:dyDescent="0.35">
      <c r="A677" s="1">
        <v>42600.777777777781</v>
      </c>
      <c r="B677" s="1">
        <v>42600.796527777777</v>
      </c>
      <c r="C677" t="s">
        <v>7</v>
      </c>
      <c r="D677" t="s">
        <v>65</v>
      </c>
      <c r="E677" t="s">
        <v>65</v>
      </c>
      <c r="F677">
        <v>7.6</v>
      </c>
      <c r="G677" t="s">
        <v>24</v>
      </c>
      <c r="J677">
        <f>HOUR(Table1[[#This Row],[START_DATE]])</f>
        <v>18</v>
      </c>
      <c r="K677" s="2">
        <f t="shared" si="20"/>
        <v>42600</v>
      </c>
      <c r="L677" t="str">
        <f t="shared" si="21"/>
        <v>Thursday</v>
      </c>
    </row>
    <row r="678" spans="1:12" x14ac:dyDescent="0.35">
      <c r="A678" s="1">
        <v>42601.35</v>
      </c>
      <c r="B678" s="1">
        <v>42601.364583333336</v>
      </c>
      <c r="C678" t="s">
        <v>7</v>
      </c>
      <c r="D678" t="s">
        <v>65</v>
      </c>
      <c r="E678" t="s">
        <v>70</v>
      </c>
      <c r="F678">
        <v>7.6</v>
      </c>
      <c r="J678">
        <f>HOUR(Table1[[#This Row],[START_DATE]])</f>
        <v>8</v>
      </c>
      <c r="K678" s="2">
        <f t="shared" si="20"/>
        <v>42601</v>
      </c>
      <c r="L678" t="str">
        <f t="shared" si="21"/>
        <v>Friday</v>
      </c>
    </row>
    <row r="679" spans="1:12" x14ac:dyDescent="0.35">
      <c r="A679" s="1">
        <v>42601.370833333334</v>
      </c>
      <c r="B679" s="1">
        <v>42601.379861111112</v>
      </c>
      <c r="C679" t="s">
        <v>7</v>
      </c>
      <c r="D679" t="s">
        <v>70</v>
      </c>
      <c r="E679" t="s">
        <v>68</v>
      </c>
      <c r="F679">
        <v>3.3</v>
      </c>
      <c r="J679">
        <f>HOUR(Table1[[#This Row],[START_DATE]])</f>
        <v>8</v>
      </c>
      <c r="K679" s="2">
        <f t="shared" si="20"/>
        <v>42601</v>
      </c>
      <c r="L679" t="str">
        <f t="shared" si="21"/>
        <v>Friday</v>
      </c>
    </row>
    <row r="680" spans="1:12" x14ac:dyDescent="0.35">
      <c r="A680" s="1">
        <v>42601.393750000003</v>
      </c>
      <c r="B680" s="1">
        <v>42601.407638888886</v>
      </c>
      <c r="C680" t="s">
        <v>7</v>
      </c>
      <c r="D680" t="s">
        <v>68</v>
      </c>
      <c r="E680" t="s">
        <v>69</v>
      </c>
      <c r="F680">
        <v>6.5</v>
      </c>
      <c r="J680">
        <f>HOUR(Table1[[#This Row],[START_DATE]])</f>
        <v>9</v>
      </c>
      <c r="K680" s="2">
        <f t="shared" si="20"/>
        <v>42601</v>
      </c>
      <c r="L680" t="str">
        <f t="shared" si="21"/>
        <v>Friday</v>
      </c>
    </row>
    <row r="681" spans="1:12" x14ac:dyDescent="0.35">
      <c r="A681" s="1">
        <v>42601.456250000003</v>
      </c>
      <c r="B681" s="1">
        <v>42601.462500000001</v>
      </c>
      <c r="C681" t="s">
        <v>7</v>
      </c>
      <c r="D681" t="s">
        <v>69</v>
      </c>
      <c r="E681" t="s">
        <v>65</v>
      </c>
      <c r="F681">
        <v>2</v>
      </c>
      <c r="J681">
        <f>HOUR(Table1[[#This Row],[START_DATE]])</f>
        <v>10</v>
      </c>
      <c r="K681" s="2">
        <f t="shared" si="20"/>
        <v>42601</v>
      </c>
      <c r="L681" t="str">
        <f t="shared" si="21"/>
        <v>Friday</v>
      </c>
    </row>
    <row r="682" spans="1:12" x14ac:dyDescent="0.35">
      <c r="A682" s="1">
        <v>42601.504861111112</v>
      </c>
      <c r="B682" s="1">
        <v>42601.51666666667</v>
      </c>
      <c r="C682" t="s">
        <v>7</v>
      </c>
      <c r="D682" t="s">
        <v>65</v>
      </c>
      <c r="E682" t="s">
        <v>68</v>
      </c>
      <c r="F682">
        <v>5.7</v>
      </c>
      <c r="J682">
        <f>HOUR(Table1[[#This Row],[START_DATE]])</f>
        <v>12</v>
      </c>
      <c r="K682" s="2">
        <f t="shared" si="20"/>
        <v>42601</v>
      </c>
      <c r="L682" t="str">
        <f t="shared" si="21"/>
        <v>Friday</v>
      </c>
    </row>
    <row r="683" spans="1:12" x14ac:dyDescent="0.35">
      <c r="A683" s="1">
        <v>42601.660416666666</v>
      </c>
      <c r="B683" s="1">
        <v>42601.67083333333</v>
      </c>
      <c r="C683" t="s">
        <v>7</v>
      </c>
      <c r="D683" t="s">
        <v>68</v>
      </c>
      <c r="E683" t="s">
        <v>68</v>
      </c>
      <c r="F683">
        <v>3.2</v>
      </c>
      <c r="J683">
        <f>HOUR(Table1[[#This Row],[START_DATE]])</f>
        <v>15</v>
      </c>
      <c r="K683" s="2">
        <f t="shared" si="20"/>
        <v>42601</v>
      </c>
      <c r="L683" t="str">
        <f t="shared" si="21"/>
        <v>Friday</v>
      </c>
    </row>
    <row r="684" spans="1:12" x14ac:dyDescent="0.35">
      <c r="A684" s="1">
        <v>42601.716666666667</v>
      </c>
      <c r="B684" s="1">
        <v>42601.744444444441</v>
      </c>
      <c r="C684" t="s">
        <v>7</v>
      </c>
      <c r="D684" t="s">
        <v>68</v>
      </c>
      <c r="E684" t="s">
        <v>65</v>
      </c>
      <c r="F684">
        <v>12.5</v>
      </c>
      <c r="J684">
        <f>HOUR(Table1[[#This Row],[START_DATE]])</f>
        <v>17</v>
      </c>
      <c r="K684" s="2">
        <f t="shared" si="20"/>
        <v>42601</v>
      </c>
      <c r="L684" t="str">
        <f t="shared" si="21"/>
        <v>Friday</v>
      </c>
    </row>
    <row r="685" spans="1:12" x14ac:dyDescent="0.35">
      <c r="A685" s="1">
        <v>42603.416666666664</v>
      </c>
      <c r="B685" s="1">
        <v>42603.436805555553</v>
      </c>
      <c r="C685" t="s">
        <v>7</v>
      </c>
      <c r="D685" t="s">
        <v>65</v>
      </c>
      <c r="E685" t="s">
        <v>65</v>
      </c>
      <c r="F685">
        <v>7.6</v>
      </c>
      <c r="G685" t="s">
        <v>187</v>
      </c>
      <c r="J685">
        <f>HOUR(Table1[[#This Row],[START_DATE]])</f>
        <v>10</v>
      </c>
      <c r="K685" s="2">
        <f t="shared" si="20"/>
        <v>42603</v>
      </c>
      <c r="L685" t="str">
        <f t="shared" si="21"/>
        <v>Sunday</v>
      </c>
    </row>
    <row r="686" spans="1:12" x14ac:dyDescent="0.35">
      <c r="A686" s="1">
        <v>42603.586805555555</v>
      </c>
      <c r="B686" s="1">
        <v>42603.606944444444</v>
      </c>
      <c r="C686" t="s">
        <v>7</v>
      </c>
      <c r="D686" t="s">
        <v>65</v>
      </c>
      <c r="E686" t="s">
        <v>65</v>
      </c>
      <c r="F686">
        <v>7.7</v>
      </c>
      <c r="J686">
        <f>HOUR(Table1[[#This Row],[START_DATE]])</f>
        <v>14</v>
      </c>
      <c r="K686" s="2">
        <f t="shared" si="20"/>
        <v>42603</v>
      </c>
      <c r="L686" t="str">
        <f t="shared" si="21"/>
        <v>Sunday</v>
      </c>
    </row>
    <row r="687" spans="1:12" x14ac:dyDescent="0.35">
      <c r="A687" s="1">
        <v>42603.6875</v>
      </c>
      <c r="B687" s="1">
        <v>42603.709722222222</v>
      </c>
      <c r="C687" t="s">
        <v>7</v>
      </c>
      <c r="D687" t="s">
        <v>65</v>
      </c>
      <c r="E687" t="s">
        <v>68</v>
      </c>
      <c r="F687">
        <v>12.2</v>
      </c>
      <c r="J687">
        <f>HOUR(Table1[[#This Row],[START_DATE]])</f>
        <v>16</v>
      </c>
      <c r="K687" s="2">
        <f t="shared" si="20"/>
        <v>42603</v>
      </c>
      <c r="L687" t="str">
        <f t="shared" si="21"/>
        <v>Sunday</v>
      </c>
    </row>
    <row r="688" spans="1:12" x14ac:dyDescent="0.35">
      <c r="A688" s="1">
        <v>42603.756944444445</v>
      </c>
      <c r="B688" s="1">
        <v>42603.761805555558</v>
      </c>
      <c r="C688" t="s">
        <v>7</v>
      </c>
      <c r="D688" t="s">
        <v>68</v>
      </c>
      <c r="E688" t="s">
        <v>68</v>
      </c>
      <c r="F688">
        <v>1.4</v>
      </c>
      <c r="J688">
        <f>HOUR(Table1[[#This Row],[START_DATE]])</f>
        <v>18</v>
      </c>
      <c r="K688" s="2">
        <f t="shared" si="20"/>
        <v>42603</v>
      </c>
      <c r="L688" t="str">
        <f t="shared" si="21"/>
        <v>Sunday</v>
      </c>
    </row>
    <row r="689" spans="1:12" x14ac:dyDescent="0.35">
      <c r="A689" s="1">
        <v>42603.783333333333</v>
      </c>
      <c r="B689" s="1">
        <v>42603.808333333334</v>
      </c>
      <c r="C689" t="s">
        <v>7</v>
      </c>
      <c r="D689" t="s">
        <v>68</v>
      </c>
      <c r="E689" t="s">
        <v>65</v>
      </c>
      <c r="F689">
        <v>20.2</v>
      </c>
      <c r="J689">
        <f>HOUR(Table1[[#This Row],[START_DATE]])</f>
        <v>18</v>
      </c>
      <c r="K689" s="2">
        <f t="shared" si="20"/>
        <v>42603</v>
      </c>
      <c r="L689" t="str">
        <f t="shared" si="21"/>
        <v>Sunday</v>
      </c>
    </row>
    <row r="690" spans="1:12" x14ac:dyDescent="0.35">
      <c r="A690" s="1">
        <v>42604.416666666664</v>
      </c>
      <c r="B690" s="1">
        <v>42604.447222222225</v>
      </c>
      <c r="C690" t="s">
        <v>7</v>
      </c>
      <c r="D690" t="s">
        <v>65</v>
      </c>
      <c r="E690" t="s">
        <v>68</v>
      </c>
      <c r="F690">
        <v>9.8000000000000007</v>
      </c>
      <c r="J690">
        <f>HOUR(Table1[[#This Row],[START_DATE]])</f>
        <v>10</v>
      </c>
      <c r="K690" s="2">
        <f t="shared" si="20"/>
        <v>42604</v>
      </c>
      <c r="L690" t="str">
        <f t="shared" si="21"/>
        <v>Monday</v>
      </c>
    </row>
    <row r="691" spans="1:12" x14ac:dyDescent="0.35">
      <c r="A691" s="1">
        <v>42604.463194444441</v>
      </c>
      <c r="B691" s="1">
        <v>42604.474305555559</v>
      </c>
      <c r="C691" t="s">
        <v>7</v>
      </c>
      <c r="D691" t="s">
        <v>68</v>
      </c>
      <c r="E691" t="s">
        <v>65</v>
      </c>
      <c r="F691">
        <v>6.3</v>
      </c>
      <c r="J691">
        <f>HOUR(Table1[[#This Row],[START_DATE]])</f>
        <v>11</v>
      </c>
      <c r="K691" s="2">
        <f t="shared" si="20"/>
        <v>42604</v>
      </c>
      <c r="L691" t="str">
        <f t="shared" si="21"/>
        <v>Monday</v>
      </c>
    </row>
    <row r="692" spans="1:12" x14ac:dyDescent="0.35">
      <c r="A692" s="1">
        <v>42604.525000000001</v>
      </c>
      <c r="B692" s="1">
        <v>42604.53402777778</v>
      </c>
      <c r="C692" t="s">
        <v>7</v>
      </c>
      <c r="D692" t="s">
        <v>65</v>
      </c>
      <c r="E692" t="s">
        <v>68</v>
      </c>
      <c r="F692">
        <v>4.9000000000000004</v>
      </c>
      <c r="J692">
        <f>HOUR(Table1[[#This Row],[START_DATE]])</f>
        <v>12</v>
      </c>
      <c r="K692" s="2">
        <f t="shared" si="20"/>
        <v>42604</v>
      </c>
      <c r="L692" t="str">
        <f t="shared" si="21"/>
        <v>Monday</v>
      </c>
    </row>
    <row r="693" spans="1:12" x14ac:dyDescent="0.35">
      <c r="A693" s="1">
        <v>42604.543055555558</v>
      </c>
      <c r="B693" s="1">
        <v>42604.549305555556</v>
      </c>
      <c r="C693" t="s">
        <v>7</v>
      </c>
      <c r="D693" t="s">
        <v>68</v>
      </c>
      <c r="E693" t="s">
        <v>68</v>
      </c>
      <c r="F693">
        <v>1.5</v>
      </c>
      <c r="J693">
        <f>HOUR(Table1[[#This Row],[START_DATE]])</f>
        <v>13</v>
      </c>
      <c r="K693" s="2">
        <f t="shared" si="20"/>
        <v>42604</v>
      </c>
      <c r="L693" t="str">
        <f t="shared" si="21"/>
        <v>Monday</v>
      </c>
    </row>
    <row r="694" spans="1:12" x14ac:dyDescent="0.35">
      <c r="A694" s="1">
        <v>42604.588194444441</v>
      </c>
      <c r="B694" s="1">
        <v>42604.604861111111</v>
      </c>
      <c r="C694" t="s">
        <v>7</v>
      </c>
      <c r="D694" t="s">
        <v>68</v>
      </c>
      <c r="E694" t="s">
        <v>65</v>
      </c>
      <c r="F694">
        <v>10.9</v>
      </c>
      <c r="J694">
        <f>HOUR(Table1[[#This Row],[START_DATE]])</f>
        <v>14</v>
      </c>
      <c r="K694" s="2">
        <f t="shared" si="20"/>
        <v>42604</v>
      </c>
      <c r="L694" t="str">
        <f t="shared" si="21"/>
        <v>Monday</v>
      </c>
    </row>
    <row r="695" spans="1:12" x14ac:dyDescent="0.35">
      <c r="A695" s="1">
        <v>42604.634722222225</v>
      </c>
      <c r="B695" s="1">
        <v>42604.65902777778</v>
      </c>
      <c r="C695" t="s">
        <v>7</v>
      </c>
      <c r="D695" t="s">
        <v>65</v>
      </c>
      <c r="E695" t="s">
        <v>65</v>
      </c>
      <c r="F695">
        <v>19</v>
      </c>
      <c r="J695">
        <f>HOUR(Table1[[#This Row],[START_DATE]])</f>
        <v>15</v>
      </c>
      <c r="K695" s="2">
        <f t="shared" si="20"/>
        <v>42604</v>
      </c>
      <c r="L695" t="str">
        <f t="shared" si="21"/>
        <v>Monday</v>
      </c>
    </row>
    <row r="696" spans="1:12" x14ac:dyDescent="0.35">
      <c r="A696" s="1">
        <v>42604.665972222225</v>
      </c>
      <c r="B696" s="1">
        <v>42604.719444444447</v>
      </c>
      <c r="C696" t="s">
        <v>7</v>
      </c>
      <c r="D696" t="s">
        <v>65</v>
      </c>
      <c r="E696" t="s">
        <v>65</v>
      </c>
      <c r="F696">
        <v>19</v>
      </c>
      <c r="J696">
        <f>HOUR(Table1[[#This Row],[START_DATE]])</f>
        <v>15</v>
      </c>
      <c r="K696" s="2">
        <f t="shared" si="20"/>
        <v>42604</v>
      </c>
      <c r="L696" t="str">
        <f t="shared" si="21"/>
        <v>Monday</v>
      </c>
    </row>
    <row r="697" spans="1:12" x14ac:dyDescent="0.35">
      <c r="A697" s="1">
        <v>42604.831944444442</v>
      </c>
      <c r="B697" s="1">
        <v>42604.868055555555</v>
      </c>
      <c r="C697" t="s">
        <v>7</v>
      </c>
      <c r="D697" t="s">
        <v>65</v>
      </c>
      <c r="E697" t="s">
        <v>69</v>
      </c>
      <c r="F697">
        <v>7.9</v>
      </c>
      <c r="J697">
        <f>HOUR(Table1[[#This Row],[START_DATE]])</f>
        <v>19</v>
      </c>
      <c r="K697" s="2">
        <f t="shared" si="20"/>
        <v>42604</v>
      </c>
      <c r="L697" t="str">
        <f t="shared" si="21"/>
        <v>Monday</v>
      </c>
    </row>
    <row r="698" spans="1:12" x14ac:dyDescent="0.35">
      <c r="A698" s="1">
        <v>42604.870138888888</v>
      </c>
      <c r="B698" s="1">
        <v>42604.896527777775</v>
      </c>
      <c r="C698" t="s">
        <v>7</v>
      </c>
      <c r="D698" t="s">
        <v>69</v>
      </c>
      <c r="E698" t="s">
        <v>69</v>
      </c>
      <c r="F698">
        <v>4.0999999999999996</v>
      </c>
      <c r="J698">
        <f>HOUR(Table1[[#This Row],[START_DATE]])</f>
        <v>20</v>
      </c>
      <c r="K698" s="2">
        <f t="shared" si="20"/>
        <v>42604</v>
      </c>
      <c r="L698" t="str">
        <f t="shared" si="21"/>
        <v>Monday</v>
      </c>
    </row>
    <row r="699" spans="1:12" x14ac:dyDescent="0.35">
      <c r="A699" s="1">
        <v>42604.938194444447</v>
      </c>
      <c r="B699" s="1">
        <v>42604.958333333336</v>
      </c>
      <c r="C699" t="s">
        <v>7</v>
      </c>
      <c r="D699" t="s">
        <v>69</v>
      </c>
      <c r="E699" t="s">
        <v>65</v>
      </c>
      <c r="F699">
        <v>18.7</v>
      </c>
      <c r="J699">
        <f>HOUR(Table1[[#This Row],[START_DATE]])</f>
        <v>22</v>
      </c>
      <c r="K699" s="2">
        <f t="shared" si="20"/>
        <v>42604</v>
      </c>
      <c r="L699" t="str">
        <f t="shared" si="21"/>
        <v>Monday</v>
      </c>
    </row>
    <row r="700" spans="1:12" x14ac:dyDescent="0.35">
      <c r="A700" s="1">
        <v>42605.340277777781</v>
      </c>
      <c r="B700" s="1">
        <v>42605.350694444445</v>
      </c>
      <c r="C700" t="s">
        <v>7</v>
      </c>
      <c r="D700" t="s">
        <v>65</v>
      </c>
      <c r="E700" t="s">
        <v>70</v>
      </c>
      <c r="F700">
        <v>8.6999999999999993</v>
      </c>
      <c r="J700">
        <f>HOUR(Table1[[#This Row],[START_DATE]])</f>
        <v>8</v>
      </c>
      <c r="K700" s="2">
        <f t="shared" si="20"/>
        <v>42605</v>
      </c>
      <c r="L700" t="str">
        <f t="shared" si="21"/>
        <v>Tuesday</v>
      </c>
    </row>
    <row r="701" spans="1:12" x14ac:dyDescent="0.35">
      <c r="A701" s="1">
        <v>42605.399305555555</v>
      </c>
      <c r="B701" s="1">
        <v>42605.42291666667</v>
      </c>
      <c r="C701" t="s">
        <v>7</v>
      </c>
      <c r="D701" t="s">
        <v>70</v>
      </c>
      <c r="E701" t="s">
        <v>65</v>
      </c>
      <c r="F701">
        <v>7.5</v>
      </c>
      <c r="J701">
        <f>HOUR(Table1[[#This Row],[START_DATE]])</f>
        <v>9</v>
      </c>
      <c r="K701" s="2">
        <f t="shared" si="20"/>
        <v>42605</v>
      </c>
      <c r="L701" t="str">
        <f t="shared" si="21"/>
        <v>Tuesday</v>
      </c>
    </row>
    <row r="702" spans="1:12" x14ac:dyDescent="0.35">
      <c r="A702" s="1">
        <v>42605.540972222225</v>
      </c>
      <c r="B702" s="1">
        <v>42605.552083333336</v>
      </c>
      <c r="C702" t="s">
        <v>7</v>
      </c>
      <c r="D702" t="s">
        <v>65</v>
      </c>
      <c r="E702" t="s">
        <v>70</v>
      </c>
      <c r="F702">
        <v>7.7</v>
      </c>
      <c r="J702">
        <f>HOUR(Table1[[#This Row],[START_DATE]])</f>
        <v>12</v>
      </c>
      <c r="K702" s="2">
        <f t="shared" si="20"/>
        <v>42605</v>
      </c>
      <c r="L702" t="str">
        <f t="shared" si="21"/>
        <v>Tuesday</v>
      </c>
    </row>
    <row r="703" spans="1:12" x14ac:dyDescent="0.35">
      <c r="A703" s="1">
        <v>42605.554861111108</v>
      </c>
      <c r="B703" s="1">
        <v>42605.5625</v>
      </c>
      <c r="C703" t="s">
        <v>7</v>
      </c>
      <c r="D703" t="s">
        <v>70</v>
      </c>
      <c r="E703" t="s">
        <v>68</v>
      </c>
      <c r="F703">
        <v>4.4000000000000004</v>
      </c>
      <c r="J703">
        <f>HOUR(Table1[[#This Row],[START_DATE]])</f>
        <v>13</v>
      </c>
      <c r="K703" s="2">
        <f t="shared" si="20"/>
        <v>42605</v>
      </c>
      <c r="L703" t="str">
        <f t="shared" si="21"/>
        <v>Tuesday</v>
      </c>
    </row>
    <row r="704" spans="1:12" x14ac:dyDescent="0.35">
      <c r="A704" s="1">
        <v>42605.575694444444</v>
      </c>
      <c r="B704" s="1">
        <v>42605.586111111108</v>
      </c>
      <c r="C704" t="s">
        <v>7</v>
      </c>
      <c r="D704" t="s">
        <v>68</v>
      </c>
      <c r="E704" t="s">
        <v>65</v>
      </c>
      <c r="F704">
        <v>5</v>
      </c>
      <c r="J704">
        <f>HOUR(Table1[[#This Row],[START_DATE]])</f>
        <v>13</v>
      </c>
      <c r="K704" s="2">
        <f t="shared" si="20"/>
        <v>42605</v>
      </c>
      <c r="L704" t="str">
        <f t="shared" si="21"/>
        <v>Tuesday</v>
      </c>
    </row>
    <row r="705" spans="1:12" x14ac:dyDescent="0.35">
      <c r="A705" s="1">
        <v>42605.629861111112</v>
      </c>
      <c r="B705" s="1">
        <v>42605.633333333331</v>
      </c>
      <c r="C705" t="s">
        <v>7</v>
      </c>
      <c r="D705" t="s">
        <v>65</v>
      </c>
      <c r="E705" t="s">
        <v>65</v>
      </c>
      <c r="F705">
        <v>1.9</v>
      </c>
      <c r="J705">
        <f>HOUR(Table1[[#This Row],[START_DATE]])</f>
        <v>15</v>
      </c>
      <c r="K705" s="2">
        <f t="shared" si="20"/>
        <v>42605</v>
      </c>
      <c r="L705" t="str">
        <f t="shared" si="21"/>
        <v>Tuesday</v>
      </c>
    </row>
    <row r="706" spans="1:12" x14ac:dyDescent="0.35">
      <c r="A706" s="1">
        <v>42605.635416666664</v>
      </c>
      <c r="B706" s="1">
        <v>42605.719444444447</v>
      </c>
      <c r="C706" t="s">
        <v>7</v>
      </c>
      <c r="D706" t="s">
        <v>65</v>
      </c>
      <c r="E706" t="s">
        <v>65</v>
      </c>
      <c r="F706">
        <v>7.9</v>
      </c>
      <c r="J706">
        <f>HOUR(Table1[[#This Row],[START_DATE]])</f>
        <v>15</v>
      </c>
      <c r="K706" s="2">
        <f t="shared" si="20"/>
        <v>42605</v>
      </c>
      <c r="L706" t="str">
        <f t="shared" si="21"/>
        <v>Tuesday</v>
      </c>
    </row>
    <row r="707" spans="1:12" x14ac:dyDescent="0.35">
      <c r="A707" s="1">
        <v>42605.737500000003</v>
      </c>
      <c r="B707" s="1">
        <v>42605.771527777775</v>
      </c>
      <c r="C707" t="s">
        <v>7</v>
      </c>
      <c r="D707" t="s">
        <v>65</v>
      </c>
      <c r="E707" t="s">
        <v>65</v>
      </c>
      <c r="F707">
        <v>17.7</v>
      </c>
      <c r="J707">
        <f>HOUR(Table1[[#This Row],[START_DATE]])</f>
        <v>17</v>
      </c>
      <c r="K707" s="2">
        <f t="shared" ref="K707:K770" si="22">DATE(YEAR(A707), MONTH(A707), DAY(A707))</f>
        <v>42605</v>
      </c>
      <c r="L707" t="str">
        <f t="shared" ref="L707:L770" si="23">TEXT(A707,"dddd")</f>
        <v>Tuesday</v>
      </c>
    </row>
    <row r="708" spans="1:12" x14ac:dyDescent="0.35">
      <c r="A708" s="1">
        <v>42606.503472222219</v>
      </c>
      <c r="B708" s="1">
        <v>42606.538888888892</v>
      </c>
      <c r="C708" t="s">
        <v>7</v>
      </c>
      <c r="D708" t="s">
        <v>65</v>
      </c>
      <c r="E708" t="s">
        <v>65</v>
      </c>
      <c r="F708">
        <v>25.2</v>
      </c>
      <c r="J708">
        <f>HOUR(Table1[[#This Row],[START_DATE]])</f>
        <v>12</v>
      </c>
      <c r="K708" s="2">
        <f t="shared" si="22"/>
        <v>42606</v>
      </c>
      <c r="L708" t="str">
        <f t="shared" si="23"/>
        <v>Wednesday</v>
      </c>
    </row>
    <row r="709" spans="1:12" x14ac:dyDescent="0.35">
      <c r="A709" s="1">
        <v>42606.542361111111</v>
      </c>
      <c r="B709" s="1">
        <v>42606.642361111109</v>
      </c>
      <c r="C709" t="s">
        <v>7</v>
      </c>
      <c r="D709" t="s">
        <v>65</v>
      </c>
      <c r="E709" t="s">
        <v>65</v>
      </c>
      <c r="F709">
        <v>96.2</v>
      </c>
      <c r="J709">
        <f>HOUR(Table1[[#This Row],[START_DATE]])</f>
        <v>13</v>
      </c>
      <c r="K709" s="2">
        <f t="shared" si="22"/>
        <v>42606</v>
      </c>
      <c r="L709" t="str">
        <f t="shared" si="23"/>
        <v>Wednesday</v>
      </c>
    </row>
    <row r="710" spans="1:12" x14ac:dyDescent="0.35">
      <c r="A710" s="1">
        <v>42607.636805555558</v>
      </c>
      <c r="B710" s="1">
        <v>42607.681944444441</v>
      </c>
      <c r="C710" t="s">
        <v>7</v>
      </c>
      <c r="D710" t="s">
        <v>65</v>
      </c>
      <c r="E710" t="s">
        <v>65</v>
      </c>
      <c r="F710">
        <v>35</v>
      </c>
      <c r="J710">
        <f>HOUR(Table1[[#This Row],[START_DATE]])</f>
        <v>15</v>
      </c>
      <c r="K710" s="2">
        <f t="shared" si="22"/>
        <v>42607</v>
      </c>
      <c r="L710" t="str">
        <f t="shared" si="23"/>
        <v>Thursday</v>
      </c>
    </row>
    <row r="711" spans="1:12" x14ac:dyDescent="0.35">
      <c r="A711" s="1">
        <v>42607.691666666666</v>
      </c>
      <c r="B711" s="1">
        <v>42607.705555555556</v>
      </c>
      <c r="C711" t="s">
        <v>7</v>
      </c>
      <c r="D711" t="s">
        <v>65</v>
      </c>
      <c r="E711" t="s">
        <v>65</v>
      </c>
      <c r="F711">
        <v>5.5</v>
      </c>
      <c r="J711">
        <f>HOUR(Table1[[#This Row],[START_DATE]])</f>
        <v>16</v>
      </c>
      <c r="K711" s="2">
        <f t="shared" si="22"/>
        <v>42607</v>
      </c>
      <c r="L711" t="str">
        <f t="shared" si="23"/>
        <v>Thursday</v>
      </c>
    </row>
    <row r="712" spans="1:12" x14ac:dyDescent="0.35">
      <c r="A712" s="1">
        <v>42607.72152777778</v>
      </c>
      <c r="B712" s="1">
        <v>42607.805555555555</v>
      </c>
      <c r="C712" t="s">
        <v>7</v>
      </c>
      <c r="D712" t="s">
        <v>65</v>
      </c>
      <c r="E712" t="s">
        <v>65</v>
      </c>
      <c r="F712">
        <v>50.4</v>
      </c>
      <c r="J712">
        <f>HOUR(Table1[[#This Row],[START_DATE]])</f>
        <v>17</v>
      </c>
      <c r="K712" s="2">
        <f t="shared" si="22"/>
        <v>42607</v>
      </c>
      <c r="L712" t="str">
        <f t="shared" si="23"/>
        <v>Thursday</v>
      </c>
    </row>
    <row r="713" spans="1:12" x14ac:dyDescent="0.35">
      <c r="A713" s="1">
        <v>42607.809027777781</v>
      </c>
      <c r="B713" s="1">
        <v>42607.831250000003</v>
      </c>
      <c r="C713" t="s">
        <v>7</v>
      </c>
      <c r="D713" t="s">
        <v>65</v>
      </c>
      <c r="E713" t="s">
        <v>188</v>
      </c>
      <c r="F713">
        <v>9.1999999999999993</v>
      </c>
      <c r="J713">
        <f>HOUR(Table1[[#This Row],[START_DATE]])</f>
        <v>19</v>
      </c>
      <c r="K713" s="2">
        <f t="shared" si="22"/>
        <v>42607</v>
      </c>
      <c r="L713" t="str">
        <f t="shared" si="23"/>
        <v>Thursday</v>
      </c>
    </row>
    <row r="714" spans="1:12" x14ac:dyDescent="0.35">
      <c r="A714" s="1">
        <v>42607.956944444442</v>
      </c>
      <c r="B714" s="1">
        <v>42607.969444444447</v>
      </c>
      <c r="C714" t="s">
        <v>7</v>
      </c>
      <c r="D714" t="s">
        <v>188</v>
      </c>
      <c r="E714" t="s">
        <v>65</v>
      </c>
      <c r="F714">
        <v>7.3</v>
      </c>
      <c r="J714">
        <f>HOUR(Table1[[#This Row],[START_DATE]])</f>
        <v>22</v>
      </c>
      <c r="K714" s="2">
        <f t="shared" si="22"/>
        <v>42607</v>
      </c>
      <c r="L714" t="str">
        <f t="shared" si="23"/>
        <v>Thursday</v>
      </c>
    </row>
    <row r="715" spans="1:12" x14ac:dyDescent="0.35">
      <c r="A715" s="1">
        <v>42608.379166666666</v>
      </c>
      <c r="B715" s="1">
        <v>42608.388888888891</v>
      </c>
      <c r="C715" t="s">
        <v>7</v>
      </c>
      <c r="D715" t="s">
        <v>65</v>
      </c>
      <c r="E715" t="s">
        <v>65</v>
      </c>
      <c r="F715">
        <v>5</v>
      </c>
      <c r="J715">
        <f>HOUR(Table1[[#This Row],[START_DATE]])</f>
        <v>9</v>
      </c>
      <c r="K715" s="2">
        <f t="shared" si="22"/>
        <v>42608</v>
      </c>
      <c r="L715" t="str">
        <f t="shared" si="23"/>
        <v>Friday</v>
      </c>
    </row>
    <row r="716" spans="1:12" x14ac:dyDescent="0.35">
      <c r="A716" s="1">
        <v>42608.468055555553</v>
      </c>
      <c r="B716" s="1">
        <v>42608.476388888892</v>
      </c>
      <c r="C716" t="s">
        <v>7</v>
      </c>
      <c r="D716" t="s">
        <v>65</v>
      </c>
      <c r="E716" t="s">
        <v>65</v>
      </c>
      <c r="F716">
        <v>3.8</v>
      </c>
      <c r="J716">
        <f>HOUR(Table1[[#This Row],[START_DATE]])</f>
        <v>11</v>
      </c>
      <c r="K716" s="2">
        <f t="shared" si="22"/>
        <v>42608</v>
      </c>
      <c r="L716" t="str">
        <f t="shared" si="23"/>
        <v>Friday</v>
      </c>
    </row>
    <row r="717" spans="1:12" x14ac:dyDescent="0.35">
      <c r="A717" s="1">
        <v>42608.506944444445</v>
      </c>
      <c r="B717" s="1">
        <v>42608.513888888891</v>
      </c>
      <c r="C717" t="s">
        <v>7</v>
      </c>
      <c r="D717" t="s">
        <v>65</v>
      </c>
      <c r="E717" t="s">
        <v>188</v>
      </c>
      <c r="F717">
        <v>3.9</v>
      </c>
      <c r="J717">
        <f>HOUR(Table1[[#This Row],[START_DATE]])</f>
        <v>12</v>
      </c>
      <c r="K717" s="2">
        <f t="shared" si="22"/>
        <v>42608</v>
      </c>
      <c r="L717" t="str">
        <f t="shared" si="23"/>
        <v>Friday</v>
      </c>
    </row>
    <row r="718" spans="1:12" x14ac:dyDescent="0.35">
      <c r="A718" s="1">
        <v>42608.590277777781</v>
      </c>
      <c r="B718" s="1">
        <v>42608.606249999997</v>
      </c>
      <c r="C718" t="s">
        <v>7</v>
      </c>
      <c r="D718" t="s">
        <v>188</v>
      </c>
      <c r="E718" t="s">
        <v>188</v>
      </c>
      <c r="F718">
        <v>7.4</v>
      </c>
      <c r="J718">
        <f>HOUR(Table1[[#This Row],[START_DATE]])</f>
        <v>14</v>
      </c>
      <c r="K718" s="2">
        <f t="shared" si="22"/>
        <v>42608</v>
      </c>
      <c r="L718" t="str">
        <f t="shared" si="23"/>
        <v>Friday</v>
      </c>
    </row>
    <row r="719" spans="1:12" x14ac:dyDescent="0.35">
      <c r="A719" s="1">
        <v>42608.640972222223</v>
      </c>
      <c r="B719" s="1">
        <v>42608.649305555555</v>
      </c>
      <c r="C719" t="s">
        <v>7</v>
      </c>
      <c r="D719" t="s">
        <v>188</v>
      </c>
      <c r="E719" t="s">
        <v>188</v>
      </c>
      <c r="F719">
        <v>1.5</v>
      </c>
      <c r="J719">
        <f>HOUR(Table1[[#This Row],[START_DATE]])</f>
        <v>15</v>
      </c>
      <c r="K719" s="2">
        <f t="shared" si="22"/>
        <v>42608</v>
      </c>
      <c r="L719" t="str">
        <f t="shared" si="23"/>
        <v>Friday</v>
      </c>
    </row>
    <row r="720" spans="1:12" x14ac:dyDescent="0.35">
      <c r="A720" s="1">
        <v>42608.665972222225</v>
      </c>
      <c r="B720" s="1">
        <v>42608.683333333334</v>
      </c>
      <c r="C720" t="s">
        <v>7</v>
      </c>
      <c r="D720" t="s">
        <v>188</v>
      </c>
      <c r="E720" t="s">
        <v>65</v>
      </c>
      <c r="F720">
        <v>7.9</v>
      </c>
      <c r="J720">
        <f>HOUR(Table1[[#This Row],[START_DATE]])</f>
        <v>15</v>
      </c>
      <c r="K720" s="2">
        <f t="shared" si="22"/>
        <v>42608</v>
      </c>
      <c r="L720" t="str">
        <f t="shared" si="23"/>
        <v>Friday</v>
      </c>
    </row>
    <row r="721" spans="1:12" x14ac:dyDescent="0.35">
      <c r="A721" s="1">
        <v>42608.704861111109</v>
      </c>
      <c r="B721" s="1">
        <v>42608.716666666667</v>
      </c>
      <c r="C721" t="s">
        <v>7</v>
      </c>
      <c r="D721" t="s">
        <v>65</v>
      </c>
      <c r="E721" t="s">
        <v>188</v>
      </c>
      <c r="F721">
        <v>2.9</v>
      </c>
      <c r="J721">
        <f>HOUR(Table1[[#This Row],[START_DATE]])</f>
        <v>16</v>
      </c>
      <c r="K721" s="2">
        <f t="shared" si="22"/>
        <v>42608</v>
      </c>
      <c r="L721" t="str">
        <f t="shared" si="23"/>
        <v>Friday</v>
      </c>
    </row>
    <row r="722" spans="1:12" x14ac:dyDescent="0.35">
      <c r="A722" s="1">
        <v>42608.779166666667</v>
      </c>
      <c r="B722" s="1">
        <v>42608.788888888892</v>
      </c>
      <c r="C722" t="s">
        <v>7</v>
      </c>
      <c r="D722" t="s">
        <v>188</v>
      </c>
      <c r="E722" t="s">
        <v>188</v>
      </c>
      <c r="F722">
        <v>3.4</v>
      </c>
      <c r="J722">
        <f>HOUR(Table1[[#This Row],[START_DATE]])</f>
        <v>18</v>
      </c>
      <c r="K722" s="2">
        <f t="shared" si="22"/>
        <v>42608</v>
      </c>
      <c r="L722" t="str">
        <f t="shared" si="23"/>
        <v>Friday</v>
      </c>
    </row>
    <row r="723" spans="1:12" x14ac:dyDescent="0.35">
      <c r="A723" s="1">
        <v>42608.813194444447</v>
      </c>
      <c r="B723" s="1">
        <v>42608.82916666667</v>
      </c>
      <c r="C723" t="s">
        <v>7</v>
      </c>
      <c r="D723" t="s">
        <v>188</v>
      </c>
      <c r="E723" t="s">
        <v>188</v>
      </c>
      <c r="F723">
        <v>3.8</v>
      </c>
      <c r="J723">
        <f>HOUR(Table1[[#This Row],[START_DATE]])</f>
        <v>19</v>
      </c>
      <c r="K723" s="2">
        <f t="shared" si="22"/>
        <v>42608</v>
      </c>
      <c r="L723" t="str">
        <f t="shared" si="23"/>
        <v>Friday</v>
      </c>
    </row>
    <row r="724" spans="1:12" x14ac:dyDescent="0.35">
      <c r="A724" s="1">
        <v>42608.837500000001</v>
      </c>
      <c r="B724" s="1">
        <v>42608.844444444447</v>
      </c>
      <c r="C724" t="s">
        <v>7</v>
      </c>
      <c r="D724" t="s">
        <v>188</v>
      </c>
      <c r="E724" t="s">
        <v>65</v>
      </c>
      <c r="F724">
        <v>5.9</v>
      </c>
      <c r="J724">
        <f>HOUR(Table1[[#This Row],[START_DATE]])</f>
        <v>20</v>
      </c>
      <c r="K724" s="2">
        <f t="shared" si="22"/>
        <v>42608</v>
      </c>
      <c r="L724" t="str">
        <f t="shared" si="23"/>
        <v>Friday</v>
      </c>
    </row>
    <row r="725" spans="1:12" x14ac:dyDescent="0.35">
      <c r="A725" s="1">
        <v>42609.398611111108</v>
      </c>
      <c r="B725" s="1">
        <v>42609.424305555556</v>
      </c>
      <c r="C725" t="s">
        <v>7</v>
      </c>
      <c r="D725" t="s">
        <v>65</v>
      </c>
      <c r="E725" t="s">
        <v>188</v>
      </c>
      <c r="F725">
        <v>9.6</v>
      </c>
      <c r="J725">
        <f>HOUR(Table1[[#This Row],[START_DATE]])</f>
        <v>9</v>
      </c>
      <c r="K725" s="2">
        <f t="shared" si="22"/>
        <v>42609</v>
      </c>
      <c r="L725" t="str">
        <f t="shared" si="23"/>
        <v>Saturday</v>
      </c>
    </row>
    <row r="726" spans="1:12" x14ac:dyDescent="0.35">
      <c r="A726" s="1">
        <v>42609.490972222222</v>
      </c>
      <c r="B726" s="1">
        <v>42609.504166666666</v>
      </c>
      <c r="C726" t="s">
        <v>7</v>
      </c>
      <c r="D726" t="s">
        <v>188</v>
      </c>
      <c r="E726" t="s">
        <v>188</v>
      </c>
      <c r="F726">
        <v>7</v>
      </c>
      <c r="J726">
        <f>HOUR(Table1[[#This Row],[START_DATE]])</f>
        <v>11</v>
      </c>
      <c r="K726" s="2">
        <f t="shared" si="22"/>
        <v>42609</v>
      </c>
      <c r="L726" t="str">
        <f t="shared" si="23"/>
        <v>Saturday</v>
      </c>
    </row>
    <row r="727" spans="1:12" x14ac:dyDescent="0.35">
      <c r="A727" s="1">
        <v>42609.508333333331</v>
      </c>
      <c r="B727" s="1">
        <v>42609.511805555558</v>
      </c>
      <c r="C727" t="s">
        <v>7</v>
      </c>
      <c r="D727" t="s">
        <v>188</v>
      </c>
      <c r="E727" t="s">
        <v>188</v>
      </c>
      <c r="F727">
        <v>0.9</v>
      </c>
      <c r="J727">
        <f>HOUR(Table1[[#This Row],[START_DATE]])</f>
        <v>12</v>
      </c>
      <c r="K727" s="2">
        <f t="shared" si="22"/>
        <v>42609</v>
      </c>
      <c r="L727" t="str">
        <f t="shared" si="23"/>
        <v>Saturday</v>
      </c>
    </row>
    <row r="728" spans="1:12" x14ac:dyDescent="0.35">
      <c r="A728" s="1">
        <v>42609.584027777775</v>
      </c>
      <c r="B728" s="1">
        <v>42609.655555555553</v>
      </c>
      <c r="C728" t="s">
        <v>7</v>
      </c>
      <c r="D728" t="s">
        <v>188</v>
      </c>
      <c r="E728" t="s">
        <v>65</v>
      </c>
      <c r="F728">
        <v>86.6</v>
      </c>
      <c r="J728">
        <f>HOUR(Table1[[#This Row],[START_DATE]])</f>
        <v>14</v>
      </c>
      <c r="K728" s="2">
        <f t="shared" si="22"/>
        <v>42609</v>
      </c>
      <c r="L728" t="str">
        <f t="shared" si="23"/>
        <v>Saturday</v>
      </c>
    </row>
    <row r="729" spans="1:12" x14ac:dyDescent="0.35">
      <c r="A729" s="1">
        <v>42609.677083333336</v>
      </c>
      <c r="B729" s="1">
        <v>42609.800694444442</v>
      </c>
      <c r="C729" t="s">
        <v>7</v>
      </c>
      <c r="D729" t="s">
        <v>65</v>
      </c>
      <c r="E729" t="s">
        <v>65</v>
      </c>
      <c r="F729">
        <v>156.9</v>
      </c>
      <c r="J729">
        <f>HOUR(Table1[[#This Row],[START_DATE]])</f>
        <v>16</v>
      </c>
      <c r="K729" s="2">
        <f t="shared" si="22"/>
        <v>42609</v>
      </c>
      <c r="L729" t="str">
        <f t="shared" si="23"/>
        <v>Saturday</v>
      </c>
    </row>
    <row r="730" spans="1:12" x14ac:dyDescent="0.35">
      <c r="A730" s="1">
        <v>42610.414583333331</v>
      </c>
      <c r="B730" s="1">
        <v>42610.429166666669</v>
      </c>
      <c r="C730" t="s">
        <v>7</v>
      </c>
      <c r="D730" t="s">
        <v>65</v>
      </c>
      <c r="E730" t="s">
        <v>70</v>
      </c>
      <c r="F730">
        <v>10.1</v>
      </c>
      <c r="J730">
        <f>HOUR(Table1[[#This Row],[START_DATE]])</f>
        <v>9</v>
      </c>
      <c r="K730" s="2">
        <f t="shared" si="22"/>
        <v>42610</v>
      </c>
      <c r="L730" t="str">
        <f t="shared" si="23"/>
        <v>Sunday</v>
      </c>
    </row>
    <row r="731" spans="1:12" x14ac:dyDescent="0.35">
      <c r="A731" s="1">
        <v>42610.693749999999</v>
      </c>
      <c r="B731" s="1">
        <v>42610.704861111109</v>
      </c>
      <c r="C731" t="s">
        <v>7</v>
      </c>
      <c r="D731" t="s">
        <v>70</v>
      </c>
      <c r="E731" t="s">
        <v>68</v>
      </c>
      <c r="F731">
        <v>6.2</v>
      </c>
      <c r="J731">
        <f>HOUR(Table1[[#This Row],[START_DATE]])</f>
        <v>16</v>
      </c>
      <c r="K731" s="2">
        <f t="shared" si="22"/>
        <v>42610</v>
      </c>
      <c r="L731" t="str">
        <f t="shared" si="23"/>
        <v>Sunday</v>
      </c>
    </row>
    <row r="732" spans="1:12" x14ac:dyDescent="0.35">
      <c r="A732" s="1">
        <v>42610.734027777777</v>
      </c>
      <c r="B732" s="1">
        <v>42610.746527777781</v>
      </c>
      <c r="C732" t="s">
        <v>7</v>
      </c>
      <c r="D732" t="s">
        <v>68</v>
      </c>
      <c r="E732" t="s">
        <v>68</v>
      </c>
      <c r="F732">
        <v>5.3</v>
      </c>
      <c r="J732">
        <f>HOUR(Table1[[#This Row],[START_DATE]])</f>
        <v>17</v>
      </c>
      <c r="K732" s="2">
        <f t="shared" si="22"/>
        <v>42610</v>
      </c>
      <c r="L732" t="str">
        <f t="shared" si="23"/>
        <v>Sunday</v>
      </c>
    </row>
    <row r="733" spans="1:12" x14ac:dyDescent="0.35">
      <c r="A733" s="1">
        <v>42610.885416666664</v>
      </c>
      <c r="B733" s="1">
        <v>42610.915972222225</v>
      </c>
      <c r="C733" t="s">
        <v>7</v>
      </c>
      <c r="D733" t="s">
        <v>68</v>
      </c>
      <c r="E733" t="s">
        <v>65</v>
      </c>
      <c r="F733">
        <v>12.1</v>
      </c>
      <c r="J733">
        <f>HOUR(Table1[[#This Row],[START_DATE]])</f>
        <v>21</v>
      </c>
      <c r="K733" s="2">
        <f t="shared" si="22"/>
        <v>42610</v>
      </c>
      <c r="L733" t="str">
        <f t="shared" si="23"/>
        <v>Sunday</v>
      </c>
    </row>
    <row r="734" spans="1:12" x14ac:dyDescent="0.35">
      <c r="A734" s="1">
        <v>42611.501388888886</v>
      </c>
      <c r="B734" s="1">
        <v>42611.521527777775</v>
      </c>
      <c r="C734" t="s">
        <v>7</v>
      </c>
      <c r="D734" t="s">
        <v>65</v>
      </c>
      <c r="E734" t="s">
        <v>68</v>
      </c>
      <c r="F734">
        <v>10.8</v>
      </c>
      <c r="J734">
        <f>HOUR(Table1[[#This Row],[START_DATE]])</f>
        <v>12</v>
      </c>
      <c r="K734" s="2">
        <f t="shared" si="22"/>
        <v>42611</v>
      </c>
      <c r="L734" t="str">
        <f t="shared" si="23"/>
        <v>Monday</v>
      </c>
    </row>
    <row r="735" spans="1:12" x14ac:dyDescent="0.35">
      <c r="A735" s="1">
        <v>42611.568055555559</v>
      </c>
      <c r="B735" s="1">
        <v>42611.574999999997</v>
      </c>
      <c r="C735" t="s">
        <v>7</v>
      </c>
      <c r="D735" t="s">
        <v>68</v>
      </c>
      <c r="E735" t="s">
        <v>68</v>
      </c>
      <c r="F735">
        <v>4.3</v>
      </c>
      <c r="J735">
        <f>HOUR(Table1[[#This Row],[START_DATE]])</f>
        <v>13</v>
      </c>
      <c r="K735" s="2">
        <f t="shared" si="22"/>
        <v>42611</v>
      </c>
      <c r="L735" t="str">
        <f t="shared" si="23"/>
        <v>Monday</v>
      </c>
    </row>
    <row r="736" spans="1:12" x14ac:dyDescent="0.35">
      <c r="A736" s="1">
        <v>42611.604861111111</v>
      </c>
      <c r="B736" s="1">
        <v>42611.611805555556</v>
      </c>
      <c r="C736" t="s">
        <v>7</v>
      </c>
      <c r="D736" t="s">
        <v>68</v>
      </c>
      <c r="E736" t="s">
        <v>68</v>
      </c>
      <c r="F736">
        <v>2.5</v>
      </c>
      <c r="J736">
        <f>HOUR(Table1[[#This Row],[START_DATE]])</f>
        <v>14</v>
      </c>
      <c r="K736" s="2">
        <f t="shared" si="22"/>
        <v>42611</v>
      </c>
      <c r="L736" t="str">
        <f t="shared" si="23"/>
        <v>Monday</v>
      </c>
    </row>
    <row r="737" spans="1:12" x14ac:dyDescent="0.35">
      <c r="A737" s="1">
        <v>42611.617361111108</v>
      </c>
      <c r="B737" s="1">
        <v>42611.62777777778</v>
      </c>
      <c r="C737" t="s">
        <v>7</v>
      </c>
      <c r="D737" t="s">
        <v>68</v>
      </c>
      <c r="E737" t="s">
        <v>65</v>
      </c>
      <c r="F737">
        <v>5.7</v>
      </c>
      <c r="G737" t="s">
        <v>24</v>
      </c>
      <c r="J737">
        <f>HOUR(Table1[[#This Row],[START_DATE]])</f>
        <v>14</v>
      </c>
      <c r="K737" s="2">
        <f t="shared" si="22"/>
        <v>42611</v>
      </c>
      <c r="L737" t="str">
        <f t="shared" si="23"/>
        <v>Monday</v>
      </c>
    </row>
    <row r="738" spans="1:12" x14ac:dyDescent="0.35">
      <c r="A738" s="1">
        <v>42611.65902777778</v>
      </c>
      <c r="B738" s="1">
        <v>42611.665972222225</v>
      </c>
      <c r="C738" t="s">
        <v>7</v>
      </c>
      <c r="D738" t="s">
        <v>65</v>
      </c>
      <c r="E738" t="s">
        <v>68</v>
      </c>
      <c r="F738">
        <v>2.8</v>
      </c>
      <c r="J738">
        <f>HOUR(Table1[[#This Row],[START_DATE]])</f>
        <v>15</v>
      </c>
      <c r="K738" s="2">
        <f t="shared" si="22"/>
        <v>42611</v>
      </c>
      <c r="L738" t="str">
        <f t="shared" si="23"/>
        <v>Monday</v>
      </c>
    </row>
    <row r="739" spans="1:12" x14ac:dyDescent="0.35">
      <c r="A739" s="1">
        <v>42611.67083333333</v>
      </c>
      <c r="B739" s="1">
        <v>42611.681250000001</v>
      </c>
      <c r="C739" t="s">
        <v>7</v>
      </c>
      <c r="D739" t="s">
        <v>68</v>
      </c>
      <c r="E739" t="s">
        <v>65</v>
      </c>
      <c r="F739">
        <v>4</v>
      </c>
      <c r="J739">
        <f>HOUR(Table1[[#This Row],[START_DATE]])</f>
        <v>16</v>
      </c>
      <c r="K739" s="2">
        <f t="shared" si="22"/>
        <v>42611</v>
      </c>
      <c r="L739" t="str">
        <f t="shared" si="23"/>
        <v>Monday</v>
      </c>
    </row>
    <row r="740" spans="1:12" x14ac:dyDescent="0.35">
      <c r="A740" s="1">
        <v>42611.724999999999</v>
      </c>
      <c r="B740" s="1">
        <v>42611.736805555556</v>
      </c>
      <c r="C740" t="s">
        <v>7</v>
      </c>
      <c r="D740" t="s">
        <v>65</v>
      </c>
      <c r="E740" t="s">
        <v>68</v>
      </c>
      <c r="F740">
        <v>5.5</v>
      </c>
      <c r="J740">
        <f>HOUR(Table1[[#This Row],[START_DATE]])</f>
        <v>17</v>
      </c>
      <c r="K740" s="2">
        <f t="shared" si="22"/>
        <v>42611</v>
      </c>
      <c r="L740" t="str">
        <f t="shared" si="23"/>
        <v>Monday</v>
      </c>
    </row>
    <row r="741" spans="1:12" x14ac:dyDescent="0.35">
      <c r="A741" s="1">
        <v>42611.768750000003</v>
      </c>
      <c r="B741" s="1">
        <v>42611.775000000001</v>
      </c>
      <c r="C741" t="s">
        <v>7</v>
      </c>
      <c r="D741" t="s">
        <v>68</v>
      </c>
      <c r="E741" t="s">
        <v>68</v>
      </c>
      <c r="F741">
        <v>2.6</v>
      </c>
      <c r="J741">
        <f>HOUR(Table1[[#This Row],[START_DATE]])</f>
        <v>18</v>
      </c>
      <c r="K741" s="2">
        <f t="shared" si="22"/>
        <v>42611</v>
      </c>
      <c r="L741" t="str">
        <f t="shared" si="23"/>
        <v>Monday</v>
      </c>
    </row>
    <row r="742" spans="1:12" x14ac:dyDescent="0.35">
      <c r="A742" s="1">
        <v>42612.495138888888</v>
      </c>
      <c r="B742" s="1">
        <v>42612.503472222219</v>
      </c>
      <c r="C742" t="s">
        <v>7</v>
      </c>
      <c r="D742" t="s">
        <v>65</v>
      </c>
      <c r="E742" t="s">
        <v>65</v>
      </c>
      <c r="F742">
        <v>2.1</v>
      </c>
      <c r="J742">
        <f>HOUR(Table1[[#This Row],[START_DATE]])</f>
        <v>11</v>
      </c>
      <c r="K742" s="2">
        <f t="shared" si="22"/>
        <v>42612</v>
      </c>
      <c r="L742" t="str">
        <f t="shared" si="23"/>
        <v>Tuesday</v>
      </c>
    </row>
    <row r="743" spans="1:12" x14ac:dyDescent="0.35">
      <c r="A743" s="1">
        <v>42612.531944444447</v>
      </c>
      <c r="B743" s="1">
        <v>42612.54791666667</v>
      </c>
      <c r="C743" t="s">
        <v>7</v>
      </c>
      <c r="D743" t="s">
        <v>65</v>
      </c>
      <c r="E743" t="s">
        <v>68</v>
      </c>
      <c r="F743">
        <v>8.8000000000000007</v>
      </c>
      <c r="J743">
        <f>HOUR(Table1[[#This Row],[START_DATE]])</f>
        <v>12</v>
      </c>
      <c r="K743" s="2">
        <f t="shared" si="22"/>
        <v>42612</v>
      </c>
      <c r="L743" t="str">
        <f t="shared" si="23"/>
        <v>Tuesday</v>
      </c>
    </row>
    <row r="744" spans="1:12" x14ac:dyDescent="0.35">
      <c r="A744" s="1">
        <v>42612.559027777781</v>
      </c>
      <c r="B744" s="1">
        <v>42612.573611111111</v>
      </c>
      <c r="C744" t="s">
        <v>7</v>
      </c>
      <c r="D744" t="s">
        <v>68</v>
      </c>
      <c r="E744" t="s">
        <v>68</v>
      </c>
      <c r="F744">
        <v>4.4000000000000004</v>
      </c>
      <c r="J744">
        <f>HOUR(Table1[[#This Row],[START_DATE]])</f>
        <v>13</v>
      </c>
      <c r="K744" s="2">
        <f t="shared" si="22"/>
        <v>42612</v>
      </c>
      <c r="L744" t="str">
        <f t="shared" si="23"/>
        <v>Tuesday</v>
      </c>
    </row>
    <row r="745" spans="1:12" x14ac:dyDescent="0.35">
      <c r="A745" s="1">
        <v>42612.583333333336</v>
      </c>
      <c r="B745" s="1">
        <v>42612.597222222219</v>
      </c>
      <c r="C745" t="s">
        <v>7</v>
      </c>
      <c r="D745" t="s">
        <v>68</v>
      </c>
      <c r="E745" t="s">
        <v>65</v>
      </c>
      <c r="F745">
        <v>5.3</v>
      </c>
      <c r="J745">
        <f>HOUR(Table1[[#This Row],[START_DATE]])</f>
        <v>14</v>
      </c>
      <c r="K745" s="2">
        <f t="shared" si="22"/>
        <v>42612</v>
      </c>
      <c r="L745" t="str">
        <f t="shared" si="23"/>
        <v>Tuesday</v>
      </c>
    </row>
    <row r="746" spans="1:12" x14ac:dyDescent="0.35">
      <c r="A746" s="1">
        <v>42612.727083333331</v>
      </c>
      <c r="B746" s="1">
        <v>42612.756249999999</v>
      </c>
      <c r="C746" t="s">
        <v>7</v>
      </c>
      <c r="D746" t="s">
        <v>65</v>
      </c>
      <c r="E746" t="s">
        <v>65</v>
      </c>
      <c r="F746">
        <v>13</v>
      </c>
      <c r="J746">
        <f>HOUR(Table1[[#This Row],[START_DATE]])</f>
        <v>17</v>
      </c>
      <c r="K746" s="2">
        <f t="shared" si="22"/>
        <v>42612</v>
      </c>
      <c r="L746" t="str">
        <f t="shared" si="23"/>
        <v>Tuesday</v>
      </c>
    </row>
    <row r="747" spans="1:12" x14ac:dyDescent="0.35">
      <c r="A747" s="1">
        <v>42614.493750000001</v>
      </c>
      <c r="B747" s="1">
        <v>42614.51666666667</v>
      </c>
      <c r="C747" t="s">
        <v>7</v>
      </c>
      <c r="D747" t="s">
        <v>65</v>
      </c>
      <c r="E747" t="s">
        <v>68</v>
      </c>
      <c r="F747">
        <v>13</v>
      </c>
      <c r="J747">
        <f>HOUR(Table1[[#This Row],[START_DATE]])</f>
        <v>11</v>
      </c>
      <c r="K747" s="2">
        <f t="shared" si="22"/>
        <v>42614</v>
      </c>
      <c r="L747" t="str">
        <f t="shared" si="23"/>
        <v>Thursday</v>
      </c>
    </row>
    <row r="748" spans="1:12" x14ac:dyDescent="0.35">
      <c r="A748" s="1">
        <v>42614.722916666666</v>
      </c>
      <c r="B748" s="1">
        <v>42614.73333333333</v>
      </c>
      <c r="C748" t="s">
        <v>7</v>
      </c>
      <c r="D748" t="s">
        <v>68</v>
      </c>
      <c r="E748" t="s">
        <v>65</v>
      </c>
      <c r="F748">
        <v>10.6</v>
      </c>
      <c r="J748">
        <f>HOUR(Table1[[#This Row],[START_DATE]])</f>
        <v>17</v>
      </c>
      <c r="K748" s="2">
        <f t="shared" si="22"/>
        <v>42614</v>
      </c>
      <c r="L748" t="str">
        <f t="shared" si="23"/>
        <v>Thursday</v>
      </c>
    </row>
    <row r="749" spans="1:12" x14ac:dyDescent="0.35">
      <c r="A749" s="1">
        <v>42614.78402777778</v>
      </c>
      <c r="B749" s="1">
        <v>42614.797222222223</v>
      </c>
      <c r="C749" t="s">
        <v>7</v>
      </c>
      <c r="D749" t="s">
        <v>65</v>
      </c>
      <c r="E749" t="s">
        <v>65</v>
      </c>
      <c r="F749">
        <v>2.2000000000000002</v>
      </c>
      <c r="J749">
        <f>HOUR(Table1[[#This Row],[START_DATE]])</f>
        <v>18</v>
      </c>
      <c r="K749" s="2">
        <f t="shared" si="22"/>
        <v>42614</v>
      </c>
      <c r="L749" t="str">
        <f t="shared" si="23"/>
        <v>Thursday</v>
      </c>
    </row>
    <row r="750" spans="1:12" x14ac:dyDescent="0.35">
      <c r="A750" s="1">
        <v>42615.484027777777</v>
      </c>
      <c r="B750" s="1">
        <v>42615.51666666667</v>
      </c>
      <c r="C750" t="s">
        <v>7</v>
      </c>
      <c r="D750" t="s">
        <v>65</v>
      </c>
      <c r="E750" t="s">
        <v>68</v>
      </c>
      <c r="F750">
        <v>9.1999999999999993</v>
      </c>
      <c r="J750">
        <f>HOUR(Table1[[#This Row],[START_DATE]])</f>
        <v>11</v>
      </c>
      <c r="K750" s="2">
        <f t="shared" si="22"/>
        <v>42615</v>
      </c>
      <c r="L750" t="str">
        <f t="shared" si="23"/>
        <v>Friday</v>
      </c>
    </row>
    <row r="751" spans="1:12" x14ac:dyDescent="0.35">
      <c r="A751" s="1">
        <v>42615.788888888892</v>
      </c>
      <c r="B751" s="1">
        <v>42615.817361111112</v>
      </c>
      <c r="C751" t="s">
        <v>7</v>
      </c>
      <c r="D751" t="s">
        <v>65</v>
      </c>
      <c r="E751" t="s">
        <v>65</v>
      </c>
      <c r="F751">
        <v>12.9</v>
      </c>
      <c r="J751">
        <f>HOUR(Table1[[#This Row],[START_DATE]])</f>
        <v>18</v>
      </c>
      <c r="K751" s="2">
        <f t="shared" si="22"/>
        <v>42615</v>
      </c>
      <c r="L751" t="str">
        <f t="shared" si="23"/>
        <v>Friday</v>
      </c>
    </row>
    <row r="752" spans="1:12" x14ac:dyDescent="0.35">
      <c r="A752" s="1">
        <v>42618.434027777781</v>
      </c>
      <c r="B752" s="1">
        <v>42618.447222222225</v>
      </c>
      <c r="C752" t="s">
        <v>7</v>
      </c>
      <c r="D752" t="s">
        <v>65</v>
      </c>
      <c r="E752" t="s">
        <v>69</v>
      </c>
      <c r="F752">
        <v>17.2</v>
      </c>
      <c r="J752">
        <f>HOUR(Table1[[#This Row],[START_DATE]])</f>
        <v>10</v>
      </c>
      <c r="K752" s="2">
        <f t="shared" si="22"/>
        <v>42618</v>
      </c>
      <c r="L752" t="str">
        <f t="shared" si="23"/>
        <v>Monday</v>
      </c>
    </row>
    <row r="753" spans="1:12" x14ac:dyDescent="0.35">
      <c r="A753" s="1">
        <v>42619.742361111108</v>
      </c>
      <c r="B753" s="1">
        <v>42619.742361111108</v>
      </c>
      <c r="C753" t="s">
        <v>7</v>
      </c>
      <c r="D753" t="s">
        <v>65</v>
      </c>
      <c r="E753" t="s">
        <v>65</v>
      </c>
      <c r="F753">
        <v>69.099999999999994</v>
      </c>
      <c r="J753">
        <f>HOUR(Table1[[#This Row],[START_DATE]])</f>
        <v>17</v>
      </c>
      <c r="K753" s="2">
        <f t="shared" si="22"/>
        <v>42619</v>
      </c>
      <c r="L753" t="str">
        <f t="shared" si="23"/>
        <v>Tuesday</v>
      </c>
    </row>
    <row r="754" spans="1:12" x14ac:dyDescent="0.35">
      <c r="A754" s="1">
        <v>42623.436111111114</v>
      </c>
      <c r="B754" s="1">
        <v>42623.447916666664</v>
      </c>
      <c r="C754" t="s">
        <v>7</v>
      </c>
      <c r="D754" t="s">
        <v>65</v>
      </c>
      <c r="E754" t="s">
        <v>65</v>
      </c>
      <c r="F754">
        <v>2.8</v>
      </c>
      <c r="J754">
        <f>HOUR(Table1[[#This Row],[START_DATE]])</f>
        <v>10</v>
      </c>
      <c r="K754" s="2">
        <f t="shared" si="22"/>
        <v>42623</v>
      </c>
      <c r="L754" t="str">
        <f t="shared" si="23"/>
        <v>Saturday</v>
      </c>
    </row>
    <row r="755" spans="1:12" x14ac:dyDescent="0.35">
      <c r="A755" s="1">
        <v>42624.410416666666</v>
      </c>
      <c r="B755" s="1">
        <v>42624.413194444445</v>
      </c>
      <c r="C755" t="s">
        <v>7</v>
      </c>
      <c r="D755" t="s">
        <v>65</v>
      </c>
      <c r="E755" t="s">
        <v>65</v>
      </c>
      <c r="F755">
        <v>8.6</v>
      </c>
      <c r="J755">
        <f>HOUR(Table1[[#This Row],[START_DATE]])</f>
        <v>9</v>
      </c>
      <c r="K755" s="2">
        <f t="shared" si="22"/>
        <v>42624</v>
      </c>
      <c r="L755" t="str">
        <f t="shared" si="23"/>
        <v>Sunday</v>
      </c>
    </row>
    <row r="756" spans="1:12" x14ac:dyDescent="0.35">
      <c r="A756" s="1">
        <v>42624.902777777781</v>
      </c>
      <c r="B756" s="1">
        <v>42624.904166666667</v>
      </c>
      <c r="C756" t="s">
        <v>7</v>
      </c>
      <c r="D756" t="s">
        <v>65</v>
      </c>
      <c r="E756" t="s">
        <v>65</v>
      </c>
      <c r="F756">
        <v>9.8000000000000007</v>
      </c>
      <c r="J756">
        <f>HOUR(Table1[[#This Row],[START_DATE]])</f>
        <v>21</v>
      </c>
      <c r="K756" s="2">
        <f t="shared" si="22"/>
        <v>42624</v>
      </c>
      <c r="L756" t="str">
        <f t="shared" si="23"/>
        <v>Sunday</v>
      </c>
    </row>
    <row r="757" spans="1:12" x14ac:dyDescent="0.35">
      <c r="A757" s="1">
        <v>42625.338194444441</v>
      </c>
      <c r="B757" s="1">
        <v>42625.341666666667</v>
      </c>
      <c r="C757" t="s">
        <v>7</v>
      </c>
      <c r="D757" t="s">
        <v>65</v>
      </c>
      <c r="E757" t="s">
        <v>65</v>
      </c>
      <c r="F757">
        <v>3.6</v>
      </c>
      <c r="J757">
        <f>HOUR(Table1[[#This Row],[START_DATE]])</f>
        <v>8</v>
      </c>
      <c r="K757" s="2">
        <f t="shared" si="22"/>
        <v>42625</v>
      </c>
      <c r="L757" t="str">
        <f t="shared" si="23"/>
        <v>Monday</v>
      </c>
    </row>
    <row r="758" spans="1:12" x14ac:dyDescent="0.35">
      <c r="A758" s="1">
        <v>42625.46875</v>
      </c>
      <c r="B758" s="1">
        <v>42625.474999999999</v>
      </c>
      <c r="C758" t="s">
        <v>7</v>
      </c>
      <c r="D758" t="s">
        <v>65</v>
      </c>
      <c r="E758" t="s">
        <v>65</v>
      </c>
      <c r="F758">
        <v>1.7</v>
      </c>
      <c r="J758">
        <f>HOUR(Table1[[#This Row],[START_DATE]])</f>
        <v>11</v>
      </c>
      <c r="K758" s="2">
        <f t="shared" si="22"/>
        <v>42625</v>
      </c>
      <c r="L758" t="str">
        <f t="shared" si="23"/>
        <v>Monday</v>
      </c>
    </row>
    <row r="759" spans="1:12" x14ac:dyDescent="0.35">
      <c r="A759" s="1">
        <v>42625.544444444444</v>
      </c>
      <c r="B759" s="1">
        <v>42625.572222222225</v>
      </c>
      <c r="C759" t="s">
        <v>7</v>
      </c>
      <c r="D759" t="s">
        <v>65</v>
      </c>
      <c r="E759" t="s">
        <v>65</v>
      </c>
      <c r="F759">
        <v>11.5</v>
      </c>
      <c r="J759">
        <f>HOUR(Table1[[#This Row],[START_DATE]])</f>
        <v>13</v>
      </c>
      <c r="K759" s="2">
        <f t="shared" si="22"/>
        <v>42625</v>
      </c>
      <c r="L759" t="str">
        <f t="shared" si="23"/>
        <v>Monday</v>
      </c>
    </row>
    <row r="760" spans="1:12" x14ac:dyDescent="0.35">
      <c r="A760" s="1">
        <v>42626.705555555556</v>
      </c>
      <c r="B760" s="1">
        <v>42626.709722222222</v>
      </c>
      <c r="C760" t="s">
        <v>7</v>
      </c>
      <c r="D760" t="s">
        <v>65</v>
      </c>
      <c r="E760" t="s">
        <v>65</v>
      </c>
      <c r="F760">
        <v>0.7</v>
      </c>
      <c r="J760">
        <f>HOUR(Table1[[#This Row],[START_DATE]])</f>
        <v>16</v>
      </c>
      <c r="K760" s="2">
        <f t="shared" si="22"/>
        <v>42626</v>
      </c>
      <c r="L760" t="str">
        <f t="shared" si="23"/>
        <v>Tuesday</v>
      </c>
    </row>
    <row r="761" spans="1:12" x14ac:dyDescent="0.35">
      <c r="A761" s="1">
        <v>42627.496527777781</v>
      </c>
      <c r="B761" s="1">
        <v>42627.499305555553</v>
      </c>
      <c r="C761" t="s">
        <v>7</v>
      </c>
      <c r="D761" t="s">
        <v>65</v>
      </c>
      <c r="E761" t="s">
        <v>65</v>
      </c>
      <c r="F761">
        <v>0.7</v>
      </c>
      <c r="J761">
        <f>HOUR(Table1[[#This Row],[START_DATE]])</f>
        <v>11</v>
      </c>
      <c r="K761" s="2">
        <f t="shared" si="22"/>
        <v>42627</v>
      </c>
      <c r="L761" t="str">
        <f t="shared" si="23"/>
        <v>Wednesday</v>
      </c>
    </row>
    <row r="762" spans="1:12" x14ac:dyDescent="0.35">
      <c r="A762" s="1">
        <v>42628.856249999997</v>
      </c>
      <c r="B762" s="1">
        <v>42628.859722222223</v>
      </c>
      <c r="C762" t="s">
        <v>7</v>
      </c>
      <c r="D762" t="s">
        <v>65</v>
      </c>
      <c r="E762" t="s">
        <v>65</v>
      </c>
      <c r="F762">
        <v>0.9</v>
      </c>
      <c r="J762">
        <f>HOUR(Table1[[#This Row],[START_DATE]])</f>
        <v>20</v>
      </c>
      <c r="K762" s="2">
        <f t="shared" si="22"/>
        <v>42628</v>
      </c>
      <c r="L762" t="str">
        <f t="shared" si="23"/>
        <v>Thursday</v>
      </c>
    </row>
    <row r="763" spans="1:12" x14ac:dyDescent="0.35">
      <c r="A763" s="1">
        <v>42629.297222222223</v>
      </c>
      <c r="B763" s="1">
        <v>42629.297222222223</v>
      </c>
      <c r="C763" t="s">
        <v>7</v>
      </c>
      <c r="D763" t="s">
        <v>65</v>
      </c>
      <c r="E763" t="s">
        <v>65</v>
      </c>
      <c r="F763">
        <v>1.6</v>
      </c>
      <c r="J763">
        <f>HOUR(Table1[[#This Row],[START_DATE]])</f>
        <v>7</v>
      </c>
      <c r="K763" s="2">
        <f t="shared" si="22"/>
        <v>42629</v>
      </c>
      <c r="L763" t="str">
        <f t="shared" si="23"/>
        <v>Friday</v>
      </c>
    </row>
    <row r="764" spans="1:12" x14ac:dyDescent="0.35">
      <c r="A764" s="1">
        <v>42631.754861111112</v>
      </c>
      <c r="B764" s="1">
        <v>42631.757638888892</v>
      </c>
      <c r="C764" t="s">
        <v>7</v>
      </c>
      <c r="D764" t="s">
        <v>65</v>
      </c>
      <c r="E764" t="s">
        <v>65</v>
      </c>
      <c r="F764">
        <v>9.4</v>
      </c>
      <c r="J764">
        <f>HOUR(Table1[[#This Row],[START_DATE]])</f>
        <v>18</v>
      </c>
      <c r="K764" s="2">
        <f t="shared" si="22"/>
        <v>42631</v>
      </c>
      <c r="L764" t="str">
        <f t="shared" si="23"/>
        <v>Sunday</v>
      </c>
    </row>
    <row r="765" spans="1:12" x14ac:dyDescent="0.35">
      <c r="A765" s="1">
        <v>42632.262499999997</v>
      </c>
      <c r="B765" s="1">
        <v>42632.28402777778</v>
      </c>
      <c r="C765" t="s">
        <v>7</v>
      </c>
      <c r="D765" t="s">
        <v>69</v>
      </c>
      <c r="E765" t="s">
        <v>65</v>
      </c>
      <c r="F765">
        <v>18.2</v>
      </c>
      <c r="J765">
        <f>HOUR(Table1[[#This Row],[START_DATE]])</f>
        <v>6</v>
      </c>
      <c r="K765" s="2">
        <f t="shared" si="22"/>
        <v>42632</v>
      </c>
      <c r="L765" t="str">
        <f t="shared" si="23"/>
        <v>Monday</v>
      </c>
    </row>
    <row r="766" spans="1:12" x14ac:dyDescent="0.35">
      <c r="A766" s="1">
        <v>42632.611111111109</v>
      </c>
      <c r="B766" s="1">
        <v>42632.62222222222</v>
      </c>
      <c r="C766" t="s">
        <v>7</v>
      </c>
      <c r="D766" t="s">
        <v>65</v>
      </c>
      <c r="E766" t="s">
        <v>68</v>
      </c>
      <c r="F766">
        <v>10.5</v>
      </c>
      <c r="J766">
        <f>HOUR(Table1[[#This Row],[START_DATE]])</f>
        <v>14</v>
      </c>
      <c r="K766" s="2">
        <f t="shared" si="22"/>
        <v>42632</v>
      </c>
      <c r="L766" t="str">
        <f t="shared" si="23"/>
        <v>Monday</v>
      </c>
    </row>
    <row r="767" spans="1:12" x14ac:dyDescent="0.35">
      <c r="A767" s="1">
        <v>42632.682638888888</v>
      </c>
      <c r="B767" s="1">
        <v>42632.688194444447</v>
      </c>
      <c r="C767" t="s">
        <v>7</v>
      </c>
      <c r="D767" t="s">
        <v>68</v>
      </c>
      <c r="E767" t="s">
        <v>65</v>
      </c>
      <c r="F767">
        <v>5.7</v>
      </c>
      <c r="J767">
        <f>HOUR(Table1[[#This Row],[START_DATE]])</f>
        <v>16</v>
      </c>
      <c r="K767" s="2">
        <f t="shared" si="22"/>
        <v>42632</v>
      </c>
      <c r="L767" t="str">
        <f t="shared" si="23"/>
        <v>Monday</v>
      </c>
    </row>
    <row r="768" spans="1:12" x14ac:dyDescent="0.35">
      <c r="A768" s="1">
        <v>42632.73333333333</v>
      </c>
      <c r="B768" s="1">
        <v>42632.763888888891</v>
      </c>
      <c r="C768" t="s">
        <v>7</v>
      </c>
      <c r="D768" t="s">
        <v>65</v>
      </c>
      <c r="E768" t="s">
        <v>65</v>
      </c>
      <c r="F768">
        <v>18</v>
      </c>
      <c r="J768">
        <f>HOUR(Table1[[#This Row],[START_DATE]])</f>
        <v>17</v>
      </c>
      <c r="K768" s="2">
        <f t="shared" si="22"/>
        <v>42632</v>
      </c>
      <c r="L768" t="str">
        <f t="shared" si="23"/>
        <v>Monday</v>
      </c>
    </row>
    <row r="769" spans="1:12" x14ac:dyDescent="0.35">
      <c r="A769" s="1">
        <v>42632.798611111109</v>
      </c>
      <c r="B769" s="1">
        <v>42632.825694444444</v>
      </c>
      <c r="C769" t="s">
        <v>7</v>
      </c>
      <c r="D769" t="s">
        <v>65</v>
      </c>
      <c r="E769" t="s">
        <v>68</v>
      </c>
      <c r="F769">
        <v>18.3</v>
      </c>
      <c r="J769">
        <f>HOUR(Table1[[#This Row],[START_DATE]])</f>
        <v>19</v>
      </c>
      <c r="K769" s="2">
        <f t="shared" si="22"/>
        <v>42632</v>
      </c>
      <c r="L769" t="str">
        <f t="shared" si="23"/>
        <v>Monday</v>
      </c>
    </row>
    <row r="770" spans="1:12" x14ac:dyDescent="0.35">
      <c r="A770" s="1">
        <v>42633.478472222225</v>
      </c>
      <c r="B770" s="1">
        <v>42633.491666666669</v>
      </c>
      <c r="C770" t="s">
        <v>7</v>
      </c>
      <c r="D770" t="s">
        <v>68</v>
      </c>
      <c r="E770" t="s">
        <v>65</v>
      </c>
      <c r="F770">
        <v>16.5</v>
      </c>
      <c r="J770">
        <f>HOUR(Table1[[#This Row],[START_DATE]])</f>
        <v>11</v>
      </c>
      <c r="K770" s="2">
        <f t="shared" si="22"/>
        <v>42633</v>
      </c>
      <c r="L770" t="str">
        <f t="shared" si="23"/>
        <v>Tuesday</v>
      </c>
    </row>
    <row r="771" spans="1:12" x14ac:dyDescent="0.35">
      <c r="A771" s="1">
        <v>42633.865972222222</v>
      </c>
      <c r="B771" s="1">
        <v>42633.949305555558</v>
      </c>
      <c r="C771" t="s">
        <v>7</v>
      </c>
      <c r="D771" t="s">
        <v>65</v>
      </c>
      <c r="E771" t="s">
        <v>69</v>
      </c>
      <c r="F771">
        <v>9.6</v>
      </c>
      <c r="J771">
        <f>HOUR(Table1[[#This Row],[START_DATE]])</f>
        <v>20</v>
      </c>
      <c r="K771" s="2">
        <f t="shared" ref="K771:K834" si="24">DATE(YEAR(A771), MONTH(A771), DAY(A771))</f>
        <v>42633</v>
      </c>
      <c r="L771" t="str">
        <f t="shared" ref="L771:L834" si="25">TEXT(A771,"dddd")</f>
        <v>Tuesday</v>
      </c>
    </row>
    <row r="772" spans="1:12" x14ac:dyDescent="0.35">
      <c r="A772" s="1">
        <v>42636.552083333336</v>
      </c>
      <c r="B772" s="1">
        <v>42636.569444444445</v>
      </c>
      <c r="C772" t="s">
        <v>7</v>
      </c>
      <c r="D772" t="s">
        <v>189</v>
      </c>
      <c r="E772" t="s">
        <v>189</v>
      </c>
      <c r="F772">
        <v>2.9</v>
      </c>
      <c r="J772">
        <f>HOUR(Table1[[#This Row],[START_DATE]])</f>
        <v>13</v>
      </c>
      <c r="K772" s="2">
        <f t="shared" si="24"/>
        <v>42636</v>
      </c>
      <c r="L772" t="str">
        <f t="shared" si="25"/>
        <v>Friday</v>
      </c>
    </row>
    <row r="773" spans="1:12" x14ac:dyDescent="0.35">
      <c r="A773" s="1">
        <v>42637.606944444444</v>
      </c>
      <c r="B773" s="1">
        <v>42637.635416666664</v>
      </c>
      <c r="C773" t="s">
        <v>7</v>
      </c>
      <c r="D773" t="s">
        <v>189</v>
      </c>
      <c r="E773" t="s">
        <v>65</v>
      </c>
      <c r="F773">
        <v>8.1999999999999993</v>
      </c>
      <c r="J773">
        <f>HOUR(Table1[[#This Row],[START_DATE]])</f>
        <v>14</v>
      </c>
      <c r="K773" s="2">
        <f t="shared" si="24"/>
        <v>42637</v>
      </c>
      <c r="L773" t="str">
        <f t="shared" si="25"/>
        <v>Saturday</v>
      </c>
    </row>
    <row r="774" spans="1:12" x14ac:dyDescent="0.35">
      <c r="A774" s="1">
        <v>42637.853472222225</v>
      </c>
      <c r="B774" s="1">
        <v>42637.856249999997</v>
      </c>
      <c r="C774" t="s">
        <v>7</v>
      </c>
      <c r="D774" t="s">
        <v>65</v>
      </c>
      <c r="E774" t="s">
        <v>65</v>
      </c>
      <c r="F774">
        <v>2.4</v>
      </c>
      <c r="J774">
        <f>HOUR(Table1[[#This Row],[START_DATE]])</f>
        <v>20</v>
      </c>
      <c r="K774" s="2">
        <f t="shared" si="24"/>
        <v>42637</v>
      </c>
      <c r="L774" t="str">
        <f t="shared" si="25"/>
        <v>Saturday</v>
      </c>
    </row>
    <row r="775" spans="1:12" x14ac:dyDescent="0.35">
      <c r="A775" s="1">
        <v>42640.356249999997</v>
      </c>
      <c r="B775" s="1">
        <v>42640.357638888891</v>
      </c>
      <c r="C775" t="s">
        <v>7</v>
      </c>
      <c r="D775" t="s">
        <v>65</v>
      </c>
      <c r="E775" t="s">
        <v>65</v>
      </c>
      <c r="F775">
        <v>5.8</v>
      </c>
      <c r="J775">
        <f>HOUR(Table1[[#This Row],[START_DATE]])</f>
        <v>8</v>
      </c>
      <c r="K775" s="2">
        <f t="shared" si="24"/>
        <v>42640</v>
      </c>
      <c r="L775" t="str">
        <f t="shared" si="25"/>
        <v>Tuesday</v>
      </c>
    </row>
    <row r="776" spans="1:12" x14ac:dyDescent="0.35">
      <c r="A776" s="1">
        <v>42640.556250000001</v>
      </c>
      <c r="B776" s="1">
        <v>42640.613194444442</v>
      </c>
      <c r="C776" t="s">
        <v>7</v>
      </c>
      <c r="D776" t="s">
        <v>188</v>
      </c>
      <c r="E776" t="s">
        <v>188</v>
      </c>
      <c r="F776">
        <v>9.8000000000000007</v>
      </c>
      <c r="J776">
        <f>HOUR(Table1[[#This Row],[START_DATE]])</f>
        <v>13</v>
      </c>
      <c r="K776" s="2">
        <f t="shared" si="24"/>
        <v>42640</v>
      </c>
      <c r="L776" t="str">
        <f t="shared" si="25"/>
        <v>Tuesday</v>
      </c>
    </row>
    <row r="777" spans="1:12" x14ac:dyDescent="0.35">
      <c r="A777" s="1">
        <v>42640.801388888889</v>
      </c>
      <c r="B777" s="1">
        <v>42640.856944444444</v>
      </c>
      <c r="C777" t="s">
        <v>7</v>
      </c>
      <c r="D777" t="s">
        <v>188</v>
      </c>
      <c r="E777" t="s">
        <v>65</v>
      </c>
      <c r="F777">
        <v>7.3</v>
      </c>
      <c r="J777">
        <f>HOUR(Table1[[#This Row],[START_DATE]])</f>
        <v>19</v>
      </c>
      <c r="K777" s="2">
        <f t="shared" si="24"/>
        <v>42640</v>
      </c>
      <c r="L777" t="str">
        <f t="shared" si="25"/>
        <v>Tuesday</v>
      </c>
    </row>
    <row r="778" spans="1:12" x14ac:dyDescent="0.35">
      <c r="A778" s="1">
        <v>42640.875694444447</v>
      </c>
      <c r="B778" s="1">
        <v>42641.109027777777</v>
      </c>
      <c r="C778" t="s">
        <v>7</v>
      </c>
      <c r="D778" t="s">
        <v>65</v>
      </c>
      <c r="E778" t="s">
        <v>65</v>
      </c>
      <c r="F778">
        <v>195.6</v>
      </c>
      <c r="J778">
        <f>HOUR(Table1[[#This Row],[START_DATE]])</f>
        <v>21</v>
      </c>
      <c r="K778" s="2">
        <f t="shared" si="24"/>
        <v>42640</v>
      </c>
      <c r="L778" t="str">
        <f t="shared" si="25"/>
        <v>Tuesday</v>
      </c>
    </row>
    <row r="779" spans="1:12" x14ac:dyDescent="0.35">
      <c r="A779" s="1">
        <v>42641.722916666666</v>
      </c>
      <c r="B779" s="1">
        <v>42641.816666666666</v>
      </c>
      <c r="C779" t="s">
        <v>7</v>
      </c>
      <c r="D779" t="s">
        <v>68</v>
      </c>
      <c r="E779" t="s">
        <v>65</v>
      </c>
      <c r="F779">
        <v>20.5</v>
      </c>
      <c r="J779">
        <f>HOUR(Table1[[#This Row],[START_DATE]])</f>
        <v>17</v>
      </c>
      <c r="K779" s="2">
        <f t="shared" si="24"/>
        <v>42641</v>
      </c>
      <c r="L779" t="str">
        <f t="shared" si="25"/>
        <v>Wednesday</v>
      </c>
    </row>
    <row r="780" spans="1:12" x14ac:dyDescent="0.35">
      <c r="A780" s="1">
        <v>42642.675694444442</v>
      </c>
      <c r="B780" s="1">
        <v>42642.782638888886</v>
      </c>
      <c r="C780" t="s">
        <v>7</v>
      </c>
      <c r="D780" t="s">
        <v>65</v>
      </c>
      <c r="E780" t="s">
        <v>68</v>
      </c>
      <c r="F780">
        <v>12.6</v>
      </c>
      <c r="J780">
        <f>HOUR(Table1[[#This Row],[START_DATE]])</f>
        <v>16</v>
      </c>
      <c r="K780" s="2">
        <f t="shared" si="24"/>
        <v>42642</v>
      </c>
      <c r="L780" t="str">
        <f t="shared" si="25"/>
        <v>Thursday</v>
      </c>
    </row>
    <row r="781" spans="1:12" x14ac:dyDescent="0.35">
      <c r="A781" s="1">
        <v>42643.73541666667</v>
      </c>
      <c r="B781" s="1">
        <v>42643.847222222219</v>
      </c>
      <c r="C781" t="s">
        <v>7</v>
      </c>
      <c r="D781" t="s">
        <v>68</v>
      </c>
      <c r="E781" t="s">
        <v>68</v>
      </c>
      <c r="F781">
        <v>37.700000000000003</v>
      </c>
      <c r="J781">
        <f>HOUR(Table1[[#This Row],[START_DATE]])</f>
        <v>17</v>
      </c>
      <c r="K781" s="2">
        <f t="shared" si="24"/>
        <v>42643</v>
      </c>
      <c r="L781" t="str">
        <f t="shared" si="25"/>
        <v>Friday</v>
      </c>
    </row>
    <row r="782" spans="1:12" x14ac:dyDescent="0.35">
      <c r="A782" s="1">
        <v>42643.874305555553</v>
      </c>
      <c r="B782" s="1">
        <v>42643.94027777778</v>
      </c>
      <c r="C782" t="s">
        <v>7</v>
      </c>
      <c r="D782" t="s">
        <v>68</v>
      </c>
      <c r="E782" t="s">
        <v>65</v>
      </c>
      <c r="F782">
        <v>16.7</v>
      </c>
      <c r="J782">
        <f>HOUR(Table1[[#This Row],[START_DATE]])</f>
        <v>20</v>
      </c>
      <c r="K782" s="2">
        <f t="shared" si="24"/>
        <v>42643</v>
      </c>
      <c r="L782" t="str">
        <f t="shared" si="25"/>
        <v>Friday</v>
      </c>
    </row>
    <row r="783" spans="1:12" x14ac:dyDescent="0.35">
      <c r="A783" s="1">
        <v>42646.714583333334</v>
      </c>
      <c r="B783" s="1">
        <v>42646.716666666667</v>
      </c>
      <c r="C783" t="s">
        <v>7</v>
      </c>
      <c r="D783" t="s">
        <v>65</v>
      </c>
      <c r="E783" t="s">
        <v>68</v>
      </c>
      <c r="F783">
        <v>10.5</v>
      </c>
      <c r="J783">
        <f>HOUR(Table1[[#This Row],[START_DATE]])</f>
        <v>17</v>
      </c>
      <c r="K783" s="2">
        <f t="shared" si="24"/>
        <v>42646</v>
      </c>
      <c r="L783" t="str">
        <f t="shared" si="25"/>
        <v>Monday</v>
      </c>
    </row>
    <row r="784" spans="1:12" x14ac:dyDescent="0.35">
      <c r="A784" s="1">
        <v>42646.761805555558</v>
      </c>
      <c r="B784" s="1">
        <v>42646.773611111108</v>
      </c>
      <c r="C784" t="s">
        <v>7</v>
      </c>
      <c r="D784" t="s">
        <v>68</v>
      </c>
      <c r="E784" t="s">
        <v>68</v>
      </c>
      <c r="F784">
        <v>2.8</v>
      </c>
      <c r="J784">
        <f>HOUR(Table1[[#This Row],[START_DATE]])</f>
        <v>18</v>
      </c>
      <c r="K784" s="2">
        <f t="shared" si="24"/>
        <v>42646</v>
      </c>
      <c r="L784" t="str">
        <f t="shared" si="25"/>
        <v>Monday</v>
      </c>
    </row>
    <row r="785" spans="1:12" x14ac:dyDescent="0.35">
      <c r="A785" s="1">
        <v>42646.785416666666</v>
      </c>
      <c r="B785" s="1">
        <v>42646.792361111111</v>
      </c>
      <c r="C785" t="s">
        <v>7</v>
      </c>
      <c r="D785" t="s">
        <v>68</v>
      </c>
      <c r="E785" t="s">
        <v>68</v>
      </c>
      <c r="F785">
        <v>1.6</v>
      </c>
      <c r="J785">
        <f>HOUR(Table1[[#This Row],[START_DATE]])</f>
        <v>18</v>
      </c>
      <c r="K785" s="2">
        <f t="shared" si="24"/>
        <v>42646</v>
      </c>
      <c r="L785" t="str">
        <f t="shared" si="25"/>
        <v>Monday</v>
      </c>
    </row>
    <row r="786" spans="1:12" x14ac:dyDescent="0.35">
      <c r="A786" s="1">
        <v>42646.919444444444</v>
      </c>
      <c r="B786" s="1">
        <v>42646.939583333333</v>
      </c>
      <c r="C786" t="s">
        <v>7</v>
      </c>
      <c r="D786" t="s">
        <v>68</v>
      </c>
      <c r="E786" t="s">
        <v>65</v>
      </c>
      <c r="F786">
        <v>12.7</v>
      </c>
      <c r="J786">
        <f>HOUR(Table1[[#This Row],[START_DATE]])</f>
        <v>22</v>
      </c>
      <c r="K786" s="2">
        <f t="shared" si="24"/>
        <v>42646</v>
      </c>
      <c r="L786" t="str">
        <f t="shared" si="25"/>
        <v>Monday</v>
      </c>
    </row>
    <row r="787" spans="1:12" x14ac:dyDescent="0.35">
      <c r="A787" s="1">
        <v>42647.409722222219</v>
      </c>
      <c r="B787" s="1">
        <v>42647.452777777777</v>
      </c>
      <c r="C787" t="s">
        <v>7</v>
      </c>
      <c r="D787" t="s">
        <v>65</v>
      </c>
      <c r="E787" t="s">
        <v>65</v>
      </c>
      <c r="F787">
        <v>28.6</v>
      </c>
      <c r="J787">
        <f>HOUR(Table1[[#This Row],[START_DATE]])</f>
        <v>9</v>
      </c>
      <c r="K787" s="2">
        <f t="shared" si="24"/>
        <v>42647</v>
      </c>
      <c r="L787" t="str">
        <f t="shared" si="25"/>
        <v>Tuesday</v>
      </c>
    </row>
    <row r="788" spans="1:12" x14ac:dyDescent="0.35">
      <c r="A788" s="1">
        <v>42647.511805555558</v>
      </c>
      <c r="B788" s="1">
        <v>42647.512499999997</v>
      </c>
      <c r="C788" t="s">
        <v>7</v>
      </c>
      <c r="D788" t="s">
        <v>65</v>
      </c>
      <c r="E788" t="s">
        <v>65</v>
      </c>
      <c r="F788">
        <v>15.1</v>
      </c>
      <c r="J788">
        <f>HOUR(Table1[[#This Row],[START_DATE]])</f>
        <v>12</v>
      </c>
      <c r="K788" s="2">
        <f t="shared" si="24"/>
        <v>42647</v>
      </c>
      <c r="L788" t="str">
        <f t="shared" si="25"/>
        <v>Tuesday</v>
      </c>
    </row>
    <row r="789" spans="1:12" x14ac:dyDescent="0.35">
      <c r="A789" s="1">
        <v>42649.367361111108</v>
      </c>
      <c r="B789" s="1">
        <v>42649.48333333333</v>
      </c>
      <c r="C789" t="s">
        <v>7</v>
      </c>
      <c r="D789" t="s">
        <v>65</v>
      </c>
      <c r="E789" t="s">
        <v>69</v>
      </c>
      <c r="F789">
        <v>17.899999999999999</v>
      </c>
      <c r="J789">
        <f>HOUR(Table1[[#This Row],[START_DATE]])</f>
        <v>8</v>
      </c>
      <c r="K789" s="2">
        <f t="shared" si="24"/>
        <v>42649</v>
      </c>
      <c r="L789" t="str">
        <f t="shared" si="25"/>
        <v>Thursday</v>
      </c>
    </row>
    <row r="790" spans="1:12" x14ac:dyDescent="0.35">
      <c r="A790" s="1">
        <v>42649.724305555559</v>
      </c>
      <c r="B790" s="1">
        <v>42649.736111111109</v>
      </c>
      <c r="C790" t="s">
        <v>7</v>
      </c>
      <c r="D790" t="s">
        <v>69</v>
      </c>
      <c r="E790" t="s">
        <v>65</v>
      </c>
      <c r="F790">
        <v>112.6</v>
      </c>
      <c r="J790">
        <f>HOUR(Table1[[#This Row],[START_DATE]])</f>
        <v>17</v>
      </c>
      <c r="K790" s="2">
        <f t="shared" si="24"/>
        <v>42649</v>
      </c>
      <c r="L790" t="str">
        <f t="shared" si="25"/>
        <v>Thursday</v>
      </c>
    </row>
    <row r="791" spans="1:12" x14ac:dyDescent="0.35">
      <c r="A791" s="1">
        <v>42649.775694444441</v>
      </c>
      <c r="B791" s="1">
        <v>42649.777083333334</v>
      </c>
      <c r="C791" t="s">
        <v>7</v>
      </c>
      <c r="D791" t="s">
        <v>65</v>
      </c>
      <c r="E791" t="s">
        <v>65</v>
      </c>
      <c r="F791">
        <v>18.399999999999999</v>
      </c>
      <c r="J791">
        <f>HOUR(Table1[[#This Row],[START_DATE]])</f>
        <v>18</v>
      </c>
      <c r="K791" s="2">
        <f t="shared" si="24"/>
        <v>42649</v>
      </c>
      <c r="L791" t="str">
        <f t="shared" si="25"/>
        <v>Thursday</v>
      </c>
    </row>
    <row r="792" spans="1:12" x14ac:dyDescent="0.35">
      <c r="A792" s="1">
        <v>42649.823611111111</v>
      </c>
      <c r="B792" s="1">
        <v>42649.851388888892</v>
      </c>
      <c r="C792" t="s">
        <v>7</v>
      </c>
      <c r="D792" t="s">
        <v>65</v>
      </c>
      <c r="E792" t="s">
        <v>65</v>
      </c>
      <c r="F792">
        <v>13.8</v>
      </c>
      <c r="J792">
        <f>HOUR(Table1[[#This Row],[START_DATE]])</f>
        <v>19</v>
      </c>
      <c r="K792" s="2">
        <f t="shared" si="24"/>
        <v>42649</v>
      </c>
      <c r="L792" t="str">
        <f t="shared" si="25"/>
        <v>Thursday</v>
      </c>
    </row>
    <row r="793" spans="1:12" x14ac:dyDescent="0.35">
      <c r="A793" s="1">
        <v>42650.455555555556</v>
      </c>
      <c r="B793" s="1">
        <v>42650.457638888889</v>
      </c>
      <c r="C793" t="s">
        <v>7</v>
      </c>
      <c r="D793" t="s">
        <v>65</v>
      </c>
      <c r="E793" t="s">
        <v>188</v>
      </c>
      <c r="F793">
        <v>33.200000000000003</v>
      </c>
      <c r="J793">
        <f>HOUR(Table1[[#This Row],[START_DATE]])</f>
        <v>10</v>
      </c>
      <c r="K793" s="2">
        <f t="shared" si="24"/>
        <v>42650</v>
      </c>
      <c r="L793" t="str">
        <f t="shared" si="25"/>
        <v>Friday</v>
      </c>
    </row>
    <row r="794" spans="1:12" x14ac:dyDescent="0.35">
      <c r="A794" s="1">
        <v>42650.477083333331</v>
      </c>
      <c r="B794" s="1">
        <v>42650.493055555555</v>
      </c>
      <c r="C794" t="s">
        <v>7</v>
      </c>
      <c r="D794" t="s">
        <v>188</v>
      </c>
      <c r="E794" t="s">
        <v>188</v>
      </c>
      <c r="F794">
        <v>2.6</v>
      </c>
      <c r="J794">
        <f>HOUR(Table1[[#This Row],[START_DATE]])</f>
        <v>11</v>
      </c>
      <c r="K794" s="2">
        <f t="shared" si="24"/>
        <v>42650</v>
      </c>
      <c r="L794" t="str">
        <f t="shared" si="25"/>
        <v>Friday</v>
      </c>
    </row>
    <row r="795" spans="1:12" x14ac:dyDescent="0.35">
      <c r="A795" s="1">
        <v>42650.577777777777</v>
      </c>
      <c r="B795" s="1">
        <v>42650.588888888888</v>
      </c>
      <c r="C795" t="s">
        <v>7</v>
      </c>
      <c r="D795" t="s">
        <v>188</v>
      </c>
      <c r="E795" t="s">
        <v>65</v>
      </c>
      <c r="F795">
        <v>5.8</v>
      </c>
      <c r="J795">
        <f>HOUR(Table1[[#This Row],[START_DATE]])</f>
        <v>13</v>
      </c>
      <c r="K795" s="2">
        <f t="shared" si="24"/>
        <v>42650</v>
      </c>
      <c r="L795" t="str">
        <f t="shared" si="25"/>
        <v>Friday</v>
      </c>
    </row>
    <row r="796" spans="1:12" x14ac:dyDescent="0.35">
      <c r="A796" s="1">
        <v>42650.603472222225</v>
      </c>
      <c r="B796" s="1">
        <v>42650.632638888892</v>
      </c>
      <c r="C796" t="s">
        <v>7</v>
      </c>
      <c r="D796" t="s">
        <v>65</v>
      </c>
      <c r="E796" t="s">
        <v>188</v>
      </c>
      <c r="F796">
        <v>8.3000000000000007</v>
      </c>
      <c r="J796">
        <f>HOUR(Table1[[#This Row],[START_DATE]])</f>
        <v>14</v>
      </c>
      <c r="K796" s="2">
        <f t="shared" si="24"/>
        <v>42650</v>
      </c>
      <c r="L796" t="str">
        <f t="shared" si="25"/>
        <v>Friday</v>
      </c>
    </row>
    <row r="797" spans="1:12" x14ac:dyDescent="0.35">
      <c r="A797" s="1">
        <v>42650.657638888886</v>
      </c>
      <c r="B797" s="1">
        <v>42650.668055555558</v>
      </c>
      <c r="C797" t="s">
        <v>7</v>
      </c>
      <c r="D797" t="s">
        <v>188</v>
      </c>
      <c r="E797" t="s">
        <v>188</v>
      </c>
      <c r="F797">
        <v>2.4</v>
      </c>
      <c r="J797">
        <f>HOUR(Table1[[#This Row],[START_DATE]])</f>
        <v>15</v>
      </c>
      <c r="K797" s="2">
        <f t="shared" si="24"/>
        <v>42650</v>
      </c>
      <c r="L797" t="str">
        <f t="shared" si="25"/>
        <v>Friday</v>
      </c>
    </row>
    <row r="798" spans="1:12" x14ac:dyDescent="0.35">
      <c r="A798" s="1">
        <v>42650.755555555559</v>
      </c>
      <c r="B798" s="1">
        <v>42650.768750000003</v>
      </c>
      <c r="C798" t="s">
        <v>7</v>
      </c>
      <c r="D798" t="s">
        <v>188</v>
      </c>
      <c r="E798" t="s">
        <v>188</v>
      </c>
      <c r="F798">
        <v>3.1</v>
      </c>
      <c r="J798">
        <f>HOUR(Table1[[#This Row],[START_DATE]])</f>
        <v>18</v>
      </c>
      <c r="K798" s="2">
        <f t="shared" si="24"/>
        <v>42650</v>
      </c>
      <c r="L798" t="str">
        <f t="shared" si="25"/>
        <v>Friday</v>
      </c>
    </row>
    <row r="799" spans="1:12" x14ac:dyDescent="0.35">
      <c r="A799" s="1">
        <v>42650.772916666669</v>
      </c>
      <c r="B799" s="1">
        <v>42650.792361111111</v>
      </c>
      <c r="C799" t="s">
        <v>7</v>
      </c>
      <c r="D799" t="s">
        <v>188</v>
      </c>
      <c r="E799" t="s">
        <v>188</v>
      </c>
      <c r="F799">
        <v>6.1</v>
      </c>
      <c r="J799">
        <f>HOUR(Table1[[#This Row],[START_DATE]])</f>
        <v>18</v>
      </c>
      <c r="K799" s="2">
        <f t="shared" si="24"/>
        <v>42650</v>
      </c>
      <c r="L799" t="str">
        <f t="shared" si="25"/>
        <v>Friday</v>
      </c>
    </row>
    <row r="800" spans="1:12" x14ac:dyDescent="0.35">
      <c r="A800" s="1">
        <v>42651.627083333333</v>
      </c>
      <c r="B800" s="1">
        <v>42651.627083333333</v>
      </c>
      <c r="C800" t="s">
        <v>7</v>
      </c>
      <c r="D800" t="s">
        <v>189</v>
      </c>
      <c r="E800" t="s">
        <v>189</v>
      </c>
      <c r="F800">
        <v>3.6</v>
      </c>
      <c r="J800">
        <f>HOUR(Table1[[#This Row],[START_DATE]])</f>
        <v>15</v>
      </c>
      <c r="K800" s="2">
        <f t="shared" si="24"/>
        <v>42651</v>
      </c>
      <c r="L800" t="str">
        <f t="shared" si="25"/>
        <v>Saturday</v>
      </c>
    </row>
    <row r="801" spans="1:12" x14ac:dyDescent="0.35">
      <c r="A801" s="1">
        <v>42651.760416666664</v>
      </c>
      <c r="B801" s="1">
        <v>42651.762499999997</v>
      </c>
      <c r="C801" t="s">
        <v>7</v>
      </c>
      <c r="D801" t="s">
        <v>189</v>
      </c>
      <c r="E801" t="s">
        <v>65</v>
      </c>
      <c r="F801">
        <v>8</v>
      </c>
      <c r="J801">
        <f>HOUR(Table1[[#This Row],[START_DATE]])</f>
        <v>18</v>
      </c>
      <c r="K801" s="2">
        <f t="shared" si="24"/>
        <v>42651</v>
      </c>
      <c r="L801" t="str">
        <f t="shared" si="25"/>
        <v>Saturday</v>
      </c>
    </row>
    <row r="802" spans="1:12" x14ac:dyDescent="0.35">
      <c r="A802" s="1">
        <v>42652.586111111108</v>
      </c>
      <c r="B802" s="1">
        <v>42652.599305555559</v>
      </c>
      <c r="C802" t="s">
        <v>7</v>
      </c>
      <c r="D802" t="s">
        <v>65</v>
      </c>
      <c r="E802" t="s">
        <v>65</v>
      </c>
      <c r="F802">
        <v>7.7</v>
      </c>
      <c r="G802" t="s">
        <v>24</v>
      </c>
      <c r="J802">
        <f>HOUR(Table1[[#This Row],[START_DATE]])</f>
        <v>14</v>
      </c>
      <c r="K802" s="2">
        <f t="shared" si="24"/>
        <v>42652</v>
      </c>
      <c r="L802" t="str">
        <f t="shared" si="25"/>
        <v>Sunday</v>
      </c>
    </row>
    <row r="803" spans="1:12" x14ac:dyDescent="0.35">
      <c r="A803" s="1">
        <v>42653.723611111112</v>
      </c>
      <c r="B803" s="1">
        <v>42653.727777777778</v>
      </c>
      <c r="C803" t="s">
        <v>7</v>
      </c>
      <c r="D803" t="s">
        <v>68</v>
      </c>
      <c r="E803" t="s">
        <v>68</v>
      </c>
      <c r="F803">
        <v>1.7</v>
      </c>
      <c r="J803">
        <f>HOUR(Table1[[#This Row],[START_DATE]])</f>
        <v>17</v>
      </c>
      <c r="K803" s="2">
        <f t="shared" si="24"/>
        <v>42653</v>
      </c>
      <c r="L803" t="str">
        <f t="shared" si="25"/>
        <v>Monday</v>
      </c>
    </row>
    <row r="804" spans="1:12" x14ac:dyDescent="0.35">
      <c r="A804" s="1">
        <v>42653.731249999997</v>
      </c>
      <c r="B804" s="1">
        <v>42653.759027777778</v>
      </c>
      <c r="C804" t="s">
        <v>7</v>
      </c>
      <c r="D804" t="s">
        <v>68</v>
      </c>
      <c r="E804" t="s">
        <v>65</v>
      </c>
      <c r="F804">
        <v>9.5</v>
      </c>
      <c r="J804">
        <f>HOUR(Table1[[#This Row],[START_DATE]])</f>
        <v>17</v>
      </c>
      <c r="K804" s="2">
        <f t="shared" si="24"/>
        <v>42653</v>
      </c>
      <c r="L804" t="str">
        <f t="shared" si="25"/>
        <v>Monday</v>
      </c>
    </row>
    <row r="805" spans="1:12" x14ac:dyDescent="0.35">
      <c r="A805" s="1">
        <v>42654.060416666667</v>
      </c>
      <c r="B805" s="1">
        <v>42654.088888888888</v>
      </c>
      <c r="C805" t="s">
        <v>7</v>
      </c>
      <c r="D805" t="s">
        <v>65</v>
      </c>
      <c r="E805" t="s">
        <v>69</v>
      </c>
      <c r="F805">
        <v>17.100000000000001</v>
      </c>
      <c r="G805" t="s">
        <v>11</v>
      </c>
      <c r="J805">
        <f>HOUR(Table1[[#This Row],[START_DATE]])</f>
        <v>1</v>
      </c>
      <c r="K805" s="2">
        <f t="shared" si="24"/>
        <v>42654</v>
      </c>
      <c r="L805" t="str">
        <f t="shared" si="25"/>
        <v>Tuesday</v>
      </c>
    </row>
    <row r="806" spans="1:12" x14ac:dyDescent="0.35">
      <c r="A806" s="1">
        <v>42655.804166666669</v>
      </c>
      <c r="B806" s="1">
        <v>42655.806250000001</v>
      </c>
      <c r="C806" t="s">
        <v>7</v>
      </c>
      <c r="D806" t="s">
        <v>69</v>
      </c>
      <c r="E806" t="s">
        <v>65</v>
      </c>
      <c r="F806">
        <v>18.399999999999999</v>
      </c>
      <c r="J806">
        <f>HOUR(Table1[[#This Row],[START_DATE]])</f>
        <v>19</v>
      </c>
      <c r="K806" s="2">
        <f t="shared" si="24"/>
        <v>42655</v>
      </c>
      <c r="L806" t="str">
        <f t="shared" si="25"/>
        <v>Wednesday</v>
      </c>
    </row>
    <row r="807" spans="1:12" x14ac:dyDescent="0.35">
      <c r="A807" s="1">
        <v>42656.472222222219</v>
      </c>
      <c r="B807" s="1">
        <v>42656.498611111114</v>
      </c>
      <c r="C807" t="s">
        <v>7</v>
      </c>
      <c r="D807" t="s">
        <v>65</v>
      </c>
      <c r="E807" t="s">
        <v>68</v>
      </c>
      <c r="F807">
        <v>9.8000000000000007</v>
      </c>
      <c r="J807">
        <f>HOUR(Table1[[#This Row],[START_DATE]])</f>
        <v>11</v>
      </c>
      <c r="K807" s="2">
        <f t="shared" si="24"/>
        <v>42656</v>
      </c>
      <c r="L807" t="str">
        <f t="shared" si="25"/>
        <v>Thursday</v>
      </c>
    </row>
    <row r="808" spans="1:12" x14ac:dyDescent="0.35">
      <c r="A808" s="1">
        <v>42656.505555555559</v>
      </c>
      <c r="B808" s="1">
        <v>42656.509722222225</v>
      </c>
      <c r="C808" t="s">
        <v>7</v>
      </c>
      <c r="D808" t="s">
        <v>68</v>
      </c>
      <c r="E808" t="s">
        <v>68</v>
      </c>
      <c r="F808">
        <v>1</v>
      </c>
      <c r="J808">
        <f>HOUR(Table1[[#This Row],[START_DATE]])</f>
        <v>12</v>
      </c>
      <c r="K808" s="2">
        <f t="shared" si="24"/>
        <v>42656</v>
      </c>
      <c r="L808" t="str">
        <f t="shared" si="25"/>
        <v>Thursday</v>
      </c>
    </row>
    <row r="809" spans="1:12" x14ac:dyDescent="0.35">
      <c r="A809" s="1">
        <v>42656.543055555558</v>
      </c>
      <c r="B809" s="1">
        <v>42656.543055555558</v>
      </c>
      <c r="C809" t="s">
        <v>7</v>
      </c>
      <c r="D809" t="s">
        <v>68</v>
      </c>
      <c r="E809" t="s">
        <v>68</v>
      </c>
      <c r="F809">
        <v>0.7</v>
      </c>
      <c r="J809">
        <f>HOUR(Table1[[#This Row],[START_DATE]])</f>
        <v>13</v>
      </c>
      <c r="K809" s="2">
        <f t="shared" si="24"/>
        <v>42656</v>
      </c>
      <c r="L809" t="str">
        <f t="shared" si="25"/>
        <v>Thursday</v>
      </c>
    </row>
    <row r="810" spans="1:12" x14ac:dyDescent="0.35">
      <c r="A810" s="1">
        <v>42656.567361111112</v>
      </c>
      <c r="B810" s="1">
        <v>42656.573611111111</v>
      </c>
      <c r="C810" t="s">
        <v>7</v>
      </c>
      <c r="D810" t="s">
        <v>68</v>
      </c>
      <c r="E810" t="s">
        <v>68</v>
      </c>
      <c r="F810">
        <v>2.2999999999999998</v>
      </c>
      <c r="J810">
        <f>HOUR(Table1[[#This Row],[START_DATE]])</f>
        <v>13</v>
      </c>
      <c r="K810" s="2">
        <f t="shared" si="24"/>
        <v>42656</v>
      </c>
      <c r="L810" t="str">
        <f t="shared" si="25"/>
        <v>Thursday</v>
      </c>
    </row>
    <row r="811" spans="1:12" x14ac:dyDescent="0.35">
      <c r="A811" s="1">
        <v>42656.672222222223</v>
      </c>
      <c r="B811" s="1">
        <v>42656.703472222223</v>
      </c>
      <c r="C811" t="s">
        <v>7</v>
      </c>
      <c r="D811" t="s">
        <v>68</v>
      </c>
      <c r="E811" t="s">
        <v>65</v>
      </c>
      <c r="F811">
        <v>10.9</v>
      </c>
      <c r="J811">
        <f>HOUR(Table1[[#This Row],[START_DATE]])</f>
        <v>16</v>
      </c>
      <c r="K811" s="2">
        <f t="shared" si="24"/>
        <v>42656</v>
      </c>
      <c r="L811" t="str">
        <f t="shared" si="25"/>
        <v>Thursday</v>
      </c>
    </row>
    <row r="812" spans="1:12" x14ac:dyDescent="0.35">
      <c r="A812" s="1">
        <v>42657.368055555555</v>
      </c>
      <c r="B812" s="1">
        <v>42657.405555555553</v>
      </c>
      <c r="C812" t="s">
        <v>7</v>
      </c>
      <c r="D812" t="s">
        <v>65</v>
      </c>
      <c r="E812" t="s">
        <v>69</v>
      </c>
      <c r="F812">
        <v>12.7</v>
      </c>
      <c r="J812">
        <f>HOUR(Table1[[#This Row],[START_DATE]])</f>
        <v>8</v>
      </c>
      <c r="K812" s="2">
        <f t="shared" si="24"/>
        <v>42657</v>
      </c>
      <c r="L812" t="str">
        <f t="shared" si="25"/>
        <v>Friday</v>
      </c>
    </row>
    <row r="813" spans="1:12" x14ac:dyDescent="0.35">
      <c r="A813" s="1">
        <v>42657.427777777775</v>
      </c>
      <c r="B813" s="1">
        <v>42657.452777777777</v>
      </c>
      <c r="C813" t="s">
        <v>7</v>
      </c>
      <c r="D813" t="s">
        <v>69</v>
      </c>
      <c r="E813" t="s">
        <v>65</v>
      </c>
      <c r="F813">
        <v>12.4</v>
      </c>
      <c r="J813">
        <f>HOUR(Table1[[#This Row],[START_DATE]])</f>
        <v>10</v>
      </c>
      <c r="K813" s="2">
        <f t="shared" si="24"/>
        <v>42657</v>
      </c>
      <c r="L813" t="str">
        <f t="shared" si="25"/>
        <v>Friday</v>
      </c>
    </row>
    <row r="814" spans="1:12" x14ac:dyDescent="0.35">
      <c r="A814" s="1">
        <v>42657.663888888892</v>
      </c>
      <c r="B814" s="1">
        <v>42657.680555555555</v>
      </c>
      <c r="C814" t="s">
        <v>7</v>
      </c>
      <c r="D814" t="s">
        <v>65</v>
      </c>
      <c r="E814" t="s">
        <v>65</v>
      </c>
      <c r="F814">
        <v>3.8</v>
      </c>
      <c r="J814">
        <f>HOUR(Table1[[#This Row],[START_DATE]])</f>
        <v>15</v>
      </c>
      <c r="K814" s="2">
        <f t="shared" si="24"/>
        <v>42657</v>
      </c>
      <c r="L814" t="str">
        <f t="shared" si="25"/>
        <v>Friday</v>
      </c>
    </row>
    <row r="815" spans="1:12" x14ac:dyDescent="0.35">
      <c r="A815" s="1">
        <v>42657.995833333334</v>
      </c>
      <c r="B815" s="1">
        <v>42658.087500000001</v>
      </c>
      <c r="C815" t="s">
        <v>7</v>
      </c>
      <c r="D815" t="s">
        <v>65</v>
      </c>
      <c r="E815" t="s">
        <v>69</v>
      </c>
      <c r="F815">
        <v>17</v>
      </c>
      <c r="G815" t="s">
        <v>11</v>
      </c>
      <c r="J815">
        <f>HOUR(Table1[[#This Row],[START_DATE]])</f>
        <v>23</v>
      </c>
      <c r="K815" s="2">
        <f t="shared" si="24"/>
        <v>42657</v>
      </c>
      <c r="L815" t="str">
        <f t="shared" si="25"/>
        <v>Friday</v>
      </c>
    </row>
    <row r="816" spans="1:12" x14ac:dyDescent="0.35">
      <c r="A816" s="1">
        <v>42658.936111111114</v>
      </c>
      <c r="B816" s="1">
        <v>42658.95</v>
      </c>
      <c r="C816" t="s">
        <v>7</v>
      </c>
      <c r="D816" t="s">
        <v>16</v>
      </c>
      <c r="E816" t="s">
        <v>16</v>
      </c>
      <c r="F816">
        <v>6.2</v>
      </c>
      <c r="J816">
        <f>HOUR(Table1[[#This Row],[START_DATE]])</f>
        <v>22</v>
      </c>
      <c r="K816" s="2">
        <f t="shared" si="24"/>
        <v>42658</v>
      </c>
      <c r="L816" t="str">
        <f t="shared" si="25"/>
        <v>Saturday</v>
      </c>
    </row>
    <row r="817" spans="1:12" x14ac:dyDescent="0.35">
      <c r="A817" s="1">
        <v>42659.000694444447</v>
      </c>
      <c r="B817" s="1">
        <v>42659.009722222225</v>
      </c>
      <c r="C817" t="s">
        <v>7</v>
      </c>
      <c r="D817" t="s">
        <v>16</v>
      </c>
      <c r="E817" t="s">
        <v>15</v>
      </c>
      <c r="F817">
        <v>3.1</v>
      </c>
      <c r="J817">
        <f>HOUR(Table1[[#This Row],[START_DATE]])</f>
        <v>0</v>
      </c>
      <c r="K817" s="2">
        <f t="shared" si="24"/>
        <v>42659</v>
      </c>
      <c r="L817" t="str">
        <f t="shared" si="25"/>
        <v>Sunday</v>
      </c>
    </row>
    <row r="818" spans="1:12" x14ac:dyDescent="0.35">
      <c r="A818" s="1">
        <v>42659.536111111112</v>
      </c>
      <c r="B818" s="1">
        <v>42659.549305555556</v>
      </c>
      <c r="C818" t="s">
        <v>7</v>
      </c>
      <c r="D818" t="s">
        <v>15</v>
      </c>
      <c r="E818" t="s">
        <v>36</v>
      </c>
      <c r="F818">
        <v>10.5</v>
      </c>
      <c r="G818" t="s">
        <v>11</v>
      </c>
      <c r="J818">
        <f>HOUR(Table1[[#This Row],[START_DATE]])</f>
        <v>12</v>
      </c>
      <c r="K818" s="2">
        <f t="shared" si="24"/>
        <v>42659</v>
      </c>
      <c r="L818" t="str">
        <f t="shared" si="25"/>
        <v>Sunday</v>
      </c>
    </row>
    <row r="819" spans="1:12" x14ac:dyDescent="0.35">
      <c r="A819" s="1">
        <v>42659.611111111109</v>
      </c>
      <c r="B819" s="1">
        <v>42659.625694444447</v>
      </c>
      <c r="C819" t="s">
        <v>7</v>
      </c>
      <c r="D819" t="s">
        <v>36</v>
      </c>
      <c r="E819" t="s">
        <v>16</v>
      </c>
      <c r="F819">
        <v>8.1</v>
      </c>
      <c r="J819">
        <f>HOUR(Table1[[#This Row],[START_DATE]])</f>
        <v>14</v>
      </c>
      <c r="K819" s="2">
        <f t="shared" si="24"/>
        <v>42659</v>
      </c>
      <c r="L819" t="str">
        <f t="shared" si="25"/>
        <v>Sunday</v>
      </c>
    </row>
    <row r="820" spans="1:12" x14ac:dyDescent="0.35">
      <c r="A820" s="1">
        <v>42659.631944444445</v>
      </c>
      <c r="B820" s="1">
        <v>42659.638194444444</v>
      </c>
      <c r="C820" t="s">
        <v>7</v>
      </c>
      <c r="D820" t="s">
        <v>16</v>
      </c>
      <c r="E820" t="s">
        <v>15</v>
      </c>
      <c r="F820">
        <v>3.1</v>
      </c>
      <c r="J820">
        <f>HOUR(Table1[[#This Row],[START_DATE]])</f>
        <v>15</v>
      </c>
      <c r="K820" s="2">
        <f t="shared" si="24"/>
        <v>42659</v>
      </c>
      <c r="L820" t="str">
        <f t="shared" si="25"/>
        <v>Sunday</v>
      </c>
    </row>
    <row r="821" spans="1:12" x14ac:dyDescent="0.35">
      <c r="A821" s="1">
        <v>42659.810416666667</v>
      </c>
      <c r="B821" s="1">
        <v>42659.814583333333</v>
      </c>
      <c r="C821" t="s">
        <v>7</v>
      </c>
      <c r="D821" t="s">
        <v>38</v>
      </c>
      <c r="E821" t="s">
        <v>116</v>
      </c>
      <c r="F821">
        <v>2.1</v>
      </c>
      <c r="G821" t="s">
        <v>11</v>
      </c>
      <c r="J821">
        <f>HOUR(Table1[[#This Row],[START_DATE]])</f>
        <v>19</v>
      </c>
      <c r="K821" s="2">
        <f t="shared" si="24"/>
        <v>42659</v>
      </c>
      <c r="L821" t="str">
        <f t="shared" si="25"/>
        <v>Sunday</v>
      </c>
    </row>
    <row r="822" spans="1:12" x14ac:dyDescent="0.35">
      <c r="A822" s="1">
        <v>42659.854166666664</v>
      </c>
      <c r="B822" s="1">
        <v>42659.86041666667</v>
      </c>
      <c r="C822" t="s">
        <v>7</v>
      </c>
      <c r="D822" t="s">
        <v>15</v>
      </c>
      <c r="E822" t="s">
        <v>16</v>
      </c>
      <c r="F822">
        <v>4.3</v>
      </c>
      <c r="J822">
        <f>HOUR(Table1[[#This Row],[START_DATE]])</f>
        <v>20</v>
      </c>
      <c r="K822" s="2">
        <f t="shared" si="24"/>
        <v>42659</v>
      </c>
      <c r="L822" t="str">
        <f t="shared" si="25"/>
        <v>Sunday</v>
      </c>
    </row>
    <row r="823" spans="1:12" x14ac:dyDescent="0.35">
      <c r="A823" s="1">
        <v>42659.898611111108</v>
      </c>
      <c r="B823" s="1">
        <v>42659.90347222222</v>
      </c>
      <c r="C823" t="s">
        <v>7</v>
      </c>
      <c r="D823" t="s">
        <v>16</v>
      </c>
      <c r="E823" t="s">
        <v>15</v>
      </c>
      <c r="F823">
        <v>2.5</v>
      </c>
      <c r="G823" t="s">
        <v>9</v>
      </c>
      <c r="J823">
        <f>HOUR(Table1[[#This Row],[START_DATE]])</f>
        <v>21</v>
      </c>
      <c r="K823" s="2">
        <f t="shared" si="24"/>
        <v>42659</v>
      </c>
      <c r="L823" t="str">
        <f t="shared" si="25"/>
        <v>Sunday</v>
      </c>
    </row>
    <row r="824" spans="1:12" x14ac:dyDescent="0.35">
      <c r="A824" s="1">
        <v>42660.638194444444</v>
      </c>
      <c r="B824" s="1">
        <v>42660.664583333331</v>
      </c>
      <c r="C824" t="s">
        <v>7</v>
      </c>
      <c r="D824" t="s">
        <v>15</v>
      </c>
      <c r="E824" t="s">
        <v>40</v>
      </c>
      <c r="F824">
        <v>20.6</v>
      </c>
      <c r="J824">
        <f>HOUR(Table1[[#This Row],[START_DATE]])</f>
        <v>15</v>
      </c>
      <c r="K824" s="2">
        <f t="shared" si="24"/>
        <v>42660</v>
      </c>
      <c r="L824" t="str">
        <f t="shared" si="25"/>
        <v>Monday</v>
      </c>
    </row>
    <row r="825" spans="1:12" x14ac:dyDescent="0.35">
      <c r="A825" s="1">
        <v>42660.686805555553</v>
      </c>
      <c r="B825" s="1">
        <v>42660.71597222222</v>
      </c>
      <c r="C825" t="s">
        <v>7</v>
      </c>
      <c r="D825" t="s">
        <v>40</v>
      </c>
      <c r="E825" t="s">
        <v>15</v>
      </c>
      <c r="F825">
        <v>17.600000000000001</v>
      </c>
      <c r="J825">
        <f>HOUR(Table1[[#This Row],[START_DATE]])</f>
        <v>16</v>
      </c>
      <c r="K825" s="2">
        <f t="shared" si="24"/>
        <v>42660</v>
      </c>
      <c r="L825" t="str">
        <f t="shared" si="25"/>
        <v>Monday</v>
      </c>
    </row>
    <row r="826" spans="1:12" x14ac:dyDescent="0.35">
      <c r="A826" s="1">
        <v>42660.751388888886</v>
      </c>
      <c r="B826" s="1">
        <v>42660.761111111111</v>
      </c>
      <c r="C826" t="s">
        <v>7</v>
      </c>
      <c r="D826" t="s">
        <v>15</v>
      </c>
      <c r="E826" t="s">
        <v>48</v>
      </c>
      <c r="F826">
        <v>5.6</v>
      </c>
      <c r="J826">
        <f>HOUR(Table1[[#This Row],[START_DATE]])</f>
        <v>18</v>
      </c>
      <c r="K826" s="2">
        <f t="shared" si="24"/>
        <v>42660</v>
      </c>
      <c r="L826" t="str">
        <f t="shared" si="25"/>
        <v>Monday</v>
      </c>
    </row>
    <row r="827" spans="1:12" x14ac:dyDescent="0.35">
      <c r="A827" s="1">
        <v>42660.771527777775</v>
      </c>
      <c r="B827" s="1">
        <v>42660.78125</v>
      </c>
      <c r="C827" t="s">
        <v>7</v>
      </c>
      <c r="D827" t="s">
        <v>48</v>
      </c>
      <c r="E827" t="s">
        <v>48</v>
      </c>
      <c r="F827">
        <v>3.3</v>
      </c>
      <c r="J827">
        <f>HOUR(Table1[[#This Row],[START_DATE]])</f>
        <v>18</v>
      </c>
      <c r="K827" s="2">
        <f t="shared" si="24"/>
        <v>42660</v>
      </c>
      <c r="L827" t="str">
        <f t="shared" si="25"/>
        <v>Monday</v>
      </c>
    </row>
    <row r="828" spans="1:12" x14ac:dyDescent="0.35">
      <c r="A828" s="1">
        <v>42660.797222222223</v>
      </c>
      <c r="B828" s="1">
        <v>42660.809027777781</v>
      </c>
      <c r="C828" t="s">
        <v>7</v>
      </c>
      <c r="D828" t="s">
        <v>48</v>
      </c>
      <c r="E828" t="s">
        <v>15</v>
      </c>
      <c r="F828">
        <v>5.3</v>
      </c>
      <c r="J828">
        <f>HOUR(Table1[[#This Row],[START_DATE]])</f>
        <v>19</v>
      </c>
      <c r="K828" s="2">
        <f t="shared" si="24"/>
        <v>42660</v>
      </c>
      <c r="L828" t="str">
        <f t="shared" si="25"/>
        <v>Monday</v>
      </c>
    </row>
    <row r="829" spans="1:12" x14ac:dyDescent="0.35">
      <c r="A829" s="1">
        <v>42661.341666666667</v>
      </c>
      <c r="B829" s="1">
        <v>42661.348611111112</v>
      </c>
      <c r="C829" t="s">
        <v>7</v>
      </c>
      <c r="D829" t="s">
        <v>38</v>
      </c>
      <c r="E829" t="s">
        <v>54</v>
      </c>
      <c r="F829">
        <v>3.3</v>
      </c>
      <c r="J829">
        <f>HOUR(Table1[[#This Row],[START_DATE]])</f>
        <v>8</v>
      </c>
      <c r="K829" s="2">
        <f t="shared" si="24"/>
        <v>42661</v>
      </c>
      <c r="L829" t="str">
        <f t="shared" si="25"/>
        <v>Tuesday</v>
      </c>
    </row>
    <row r="830" spans="1:12" x14ac:dyDescent="0.35">
      <c r="A830" s="1">
        <v>42661.370138888888</v>
      </c>
      <c r="B830" s="1">
        <v>42661.376388888886</v>
      </c>
      <c r="C830" t="s">
        <v>7</v>
      </c>
      <c r="D830" t="s">
        <v>54</v>
      </c>
      <c r="E830" t="s">
        <v>38</v>
      </c>
      <c r="F830">
        <v>3.3</v>
      </c>
      <c r="J830">
        <f>HOUR(Table1[[#This Row],[START_DATE]])</f>
        <v>8</v>
      </c>
      <c r="K830" s="2">
        <f t="shared" si="24"/>
        <v>42661</v>
      </c>
      <c r="L830" t="str">
        <f t="shared" si="25"/>
        <v>Tuesday</v>
      </c>
    </row>
    <row r="831" spans="1:12" x14ac:dyDescent="0.35">
      <c r="A831" s="1">
        <v>42661.445138888892</v>
      </c>
      <c r="B831" s="1">
        <v>42661.464583333334</v>
      </c>
      <c r="C831" t="s">
        <v>7</v>
      </c>
      <c r="D831" t="s">
        <v>15</v>
      </c>
      <c r="E831" t="s">
        <v>16</v>
      </c>
      <c r="F831">
        <v>7.9</v>
      </c>
      <c r="G831" t="s">
        <v>24</v>
      </c>
      <c r="J831">
        <f>HOUR(Table1[[#This Row],[START_DATE]])</f>
        <v>10</v>
      </c>
      <c r="K831" s="2">
        <f t="shared" si="24"/>
        <v>42661</v>
      </c>
      <c r="L831" t="str">
        <f t="shared" si="25"/>
        <v>Tuesday</v>
      </c>
    </row>
    <row r="832" spans="1:12" x14ac:dyDescent="0.35">
      <c r="A832" s="1">
        <v>42661.758333333331</v>
      </c>
      <c r="B832" s="1">
        <v>42661.772916666669</v>
      </c>
      <c r="C832" t="s">
        <v>7</v>
      </c>
      <c r="D832" t="s">
        <v>145</v>
      </c>
      <c r="E832" t="s">
        <v>146</v>
      </c>
      <c r="F832">
        <v>13</v>
      </c>
      <c r="J832">
        <f>HOUR(Table1[[#This Row],[START_DATE]])</f>
        <v>18</v>
      </c>
      <c r="K832" s="2">
        <f t="shared" si="24"/>
        <v>42661</v>
      </c>
      <c r="L832" t="str">
        <f t="shared" si="25"/>
        <v>Tuesday</v>
      </c>
    </row>
    <row r="833" spans="1:12" x14ac:dyDescent="0.35">
      <c r="A833" s="1">
        <v>42661.793749999997</v>
      </c>
      <c r="B833" s="1">
        <v>42661.800694444442</v>
      </c>
      <c r="C833" t="s">
        <v>7</v>
      </c>
      <c r="D833" t="s">
        <v>146</v>
      </c>
      <c r="E833" t="s">
        <v>147</v>
      </c>
      <c r="F833">
        <v>3</v>
      </c>
      <c r="J833">
        <f>HOUR(Table1[[#This Row],[START_DATE]])</f>
        <v>19</v>
      </c>
      <c r="K833" s="2">
        <f t="shared" si="24"/>
        <v>42661</v>
      </c>
      <c r="L833" t="str">
        <f t="shared" si="25"/>
        <v>Tuesday</v>
      </c>
    </row>
    <row r="834" spans="1:12" x14ac:dyDescent="0.35">
      <c r="A834" s="1">
        <v>42661.854861111111</v>
      </c>
      <c r="B834" s="1">
        <v>42661.859027777777</v>
      </c>
      <c r="C834" t="s">
        <v>7</v>
      </c>
      <c r="D834" t="s">
        <v>147</v>
      </c>
      <c r="E834" t="s">
        <v>146</v>
      </c>
      <c r="F834">
        <v>3</v>
      </c>
      <c r="J834">
        <f>HOUR(Table1[[#This Row],[START_DATE]])</f>
        <v>20</v>
      </c>
      <c r="K834" s="2">
        <f t="shared" si="24"/>
        <v>42661</v>
      </c>
      <c r="L834" t="str">
        <f t="shared" si="25"/>
        <v>Tuesday</v>
      </c>
    </row>
    <row r="835" spans="1:12" x14ac:dyDescent="0.35">
      <c r="A835" s="1">
        <v>42662.397916666669</v>
      </c>
      <c r="B835" s="1">
        <v>42662.407638888886</v>
      </c>
      <c r="C835" t="s">
        <v>7</v>
      </c>
      <c r="D835" t="s">
        <v>146</v>
      </c>
      <c r="E835" t="s">
        <v>145</v>
      </c>
      <c r="F835">
        <v>3.8</v>
      </c>
      <c r="J835">
        <f>HOUR(Table1[[#This Row],[START_DATE]])</f>
        <v>9</v>
      </c>
      <c r="K835" s="2">
        <f t="shared" ref="K835:K898" si="26">DATE(YEAR(A835), MONTH(A835), DAY(A835))</f>
        <v>42662</v>
      </c>
      <c r="L835" t="str">
        <f t="shared" ref="L835:L898" si="27">TEXT(A835,"dddd")</f>
        <v>Wednesday</v>
      </c>
    </row>
    <row r="836" spans="1:12" x14ac:dyDescent="0.35">
      <c r="A836" s="1">
        <v>42662.412499999999</v>
      </c>
      <c r="B836" s="1">
        <v>42662.431250000001</v>
      </c>
      <c r="C836" t="s">
        <v>7</v>
      </c>
      <c r="D836" t="s">
        <v>145</v>
      </c>
      <c r="E836" t="s">
        <v>123</v>
      </c>
      <c r="F836">
        <v>9.5</v>
      </c>
      <c r="J836">
        <f>HOUR(Table1[[#This Row],[START_DATE]])</f>
        <v>9</v>
      </c>
      <c r="K836" s="2">
        <f t="shared" si="26"/>
        <v>42662</v>
      </c>
      <c r="L836" t="str">
        <f t="shared" si="27"/>
        <v>Wednesday</v>
      </c>
    </row>
    <row r="837" spans="1:12" x14ac:dyDescent="0.35">
      <c r="A837" s="1">
        <v>42662.572916666664</v>
      </c>
      <c r="B837" s="1">
        <v>42662.580555555556</v>
      </c>
      <c r="C837" t="s">
        <v>7</v>
      </c>
      <c r="D837" t="s">
        <v>190</v>
      </c>
      <c r="E837" t="s">
        <v>191</v>
      </c>
      <c r="F837">
        <v>1.7</v>
      </c>
      <c r="J837">
        <f>HOUR(Table1[[#This Row],[START_DATE]])</f>
        <v>13</v>
      </c>
      <c r="K837" s="2">
        <f t="shared" si="26"/>
        <v>42662</v>
      </c>
      <c r="L837" t="str">
        <f t="shared" si="27"/>
        <v>Wednesday</v>
      </c>
    </row>
    <row r="838" spans="1:12" x14ac:dyDescent="0.35">
      <c r="A838" s="1">
        <v>42662.584722222222</v>
      </c>
      <c r="B838" s="1">
        <v>42662.604861111111</v>
      </c>
      <c r="C838" t="s">
        <v>7</v>
      </c>
      <c r="D838" t="s">
        <v>123</v>
      </c>
      <c r="E838" t="s">
        <v>147</v>
      </c>
      <c r="F838">
        <v>10.8</v>
      </c>
      <c r="J838">
        <f>HOUR(Table1[[#This Row],[START_DATE]])</f>
        <v>14</v>
      </c>
      <c r="K838" s="2">
        <f t="shared" si="26"/>
        <v>42662</v>
      </c>
      <c r="L838" t="str">
        <f t="shared" si="27"/>
        <v>Wednesday</v>
      </c>
    </row>
    <row r="839" spans="1:12" x14ac:dyDescent="0.35">
      <c r="A839" s="1">
        <v>42662.655555555553</v>
      </c>
      <c r="B839" s="1">
        <v>42662.668055555558</v>
      </c>
      <c r="C839" t="s">
        <v>7</v>
      </c>
      <c r="D839" t="s">
        <v>192</v>
      </c>
      <c r="E839" t="s">
        <v>193</v>
      </c>
      <c r="F839">
        <v>4.0999999999999996</v>
      </c>
      <c r="J839">
        <f>HOUR(Table1[[#This Row],[START_DATE]])</f>
        <v>15</v>
      </c>
      <c r="K839" s="2">
        <f t="shared" si="26"/>
        <v>42662</v>
      </c>
      <c r="L839" t="str">
        <f t="shared" si="27"/>
        <v>Wednesday</v>
      </c>
    </row>
    <row r="840" spans="1:12" x14ac:dyDescent="0.35">
      <c r="A840" s="1">
        <v>42662.67083333333</v>
      </c>
      <c r="B840" s="1">
        <v>42662.679861111108</v>
      </c>
      <c r="C840" t="s">
        <v>7</v>
      </c>
      <c r="D840" t="s">
        <v>193</v>
      </c>
      <c r="E840" t="s">
        <v>194</v>
      </c>
      <c r="F840">
        <v>2.2000000000000002</v>
      </c>
      <c r="J840">
        <f>HOUR(Table1[[#This Row],[START_DATE]])</f>
        <v>16</v>
      </c>
      <c r="K840" s="2">
        <f t="shared" si="26"/>
        <v>42662</v>
      </c>
      <c r="L840" t="str">
        <f t="shared" si="27"/>
        <v>Wednesday</v>
      </c>
    </row>
    <row r="841" spans="1:12" x14ac:dyDescent="0.35">
      <c r="A841" s="1">
        <v>42662.689583333333</v>
      </c>
      <c r="B841" s="1">
        <v>42662.709027777775</v>
      </c>
      <c r="C841" t="s">
        <v>7</v>
      </c>
      <c r="D841" t="s">
        <v>147</v>
      </c>
      <c r="E841" t="s">
        <v>146</v>
      </c>
      <c r="F841">
        <v>4.5999999999999996</v>
      </c>
      <c r="J841">
        <f>HOUR(Table1[[#This Row],[START_DATE]])</f>
        <v>16</v>
      </c>
      <c r="K841" s="2">
        <f t="shared" si="26"/>
        <v>42662</v>
      </c>
      <c r="L841" t="str">
        <f t="shared" si="27"/>
        <v>Wednesday</v>
      </c>
    </row>
    <row r="842" spans="1:12" x14ac:dyDescent="0.35">
      <c r="A842" s="1">
        <v>42663.476388888892</v>
      </c>
      <c r="B842" s="1">
        <v>42663.481944444444</v>
      </c>
      <c r="C842" t="s">
        <v>7</v>
      </c>
      <c r="D842" t="s">
        <v>146</v>
      </c>
      <c r="E842" t="s">
        <v>147</v>
      </c>
      <c r="F842">
        <v>3.1</v>
      </c>
      <c r="J842">
        <f>HOUR(Table1[[#This Row],[START_DATE]])</f>
        <v>11</v>
      </c>
      <c r="K842" s="2">
        <f t="shared" si="26"/>
        <v>42663</v>
      </c>
      <c r="L842" t="str">
        <f t="shared" si="27"/>
        <v>Thursday</v>
      </c>
    </row>
    <row r="843" spans="1:12" x14ac:dyDescent="0.35">
      <c r="A843" s="1">
        <v>42663.513194444444</v>
      </c>
      <c r="B843" s="1">
        <v>42663.553472222222</v>
      </c>
      <c r="C843" t="s">
        <v>7</v>
      </c>
      <c r="D843" t="s">
        <v>147</v>
      </c>
      <c r="E843" t="s">
        <v>195</v>
      </c>
      <c r="F843">
        <v>47.7</v>
      </c>
      <c r="J843">
        <f>HOUR(Table1[[#This Row],[START_DATE]])</f>
        <v>12</v>
      </c>
      <c r="K843" s="2">
        <f t="shared" si="26"/>
        <v>42663</v>
      </c>
      <c r="L843" t="str">
        <f t="shared" si="27"/>
        <v>Thursday</v>
      </c>
    </row>
    <row r="844" spans="1:12" x14ac:dyDescent="0.35">
      <c r="A844" s="1">
        <v>42663.863888888889</v>
      </c>
      <c r="B844" s="1">
        <v>42663.900694444441</v>
      </c>
      <c r="C844" t="s">
        <v>7</v>
      </c>
      <c r="D844" t="s">
        <v>195</v>
      </c>
      <c r="E844" t="s">
        <v>146</v>
      </c>
      <c r="F844">
        <v>44.6</v>
      </c>
      <c r="J844">
        <f>HOUR(Table1[[#This Row],[START_DATE]])</f>
        <v>20</v>
      </c>
      <c r="K844" s="2">
        <f t="shared" si="26"/>
        <v>42663</v>
      </c>
      <c r="L844" t="str">
        <f t="shared" si="27"/>
        <v>Thursday</v>
      </c>
    </row>
    <row r="845" spans="1:12" x14ac:dyDescent="0.35">
      <c r="A845" s="1">
        <v>42664.42083333333</v>
      </c>
      <c r="B845" s="1">
        <v>42664.431250000001</v>
      </c>
      <c r="C845" t="s">
        <v>7</v>
      </c>
      <c r="D845" t="s">
        <v>146</v>
      </c>
      <c r="E845" t="s">
        <v>145</v>
      </c>
      <c r="F845">
        <v>13.2</v>
      </c>
      <c r="J845">
        <f>HOUR(Table1[[#This Row],[START_DATE]])</f>
        <v>10</v>
      </c>
      <c r="K845" s="2">
        <f t="shared" si="26"/>
        <v>42664</v>
      </c>
      <c r="L845" t="str">
        <f t="shared" si="27"/>
        <v>Friday</v>
      </c>
    </row>
    <row r="846" spans="1:12" x14ac:dyDescent="0.35">
      <c r="A846" s="1">
        <v>42665.037499999999</v>
      </c>
      <c r="B846" s="1">
        <v>42665.04791666667</v>
      </c>
      <c r="C846" t="s">
        <v>7</v>
      </c>
      <c r="D846" t="s">
        <v>16</v>
      </c>
      <c r="E846" t="s">
        <v>15</v>
      </c>
      <c r="F846">
        <v>8.6999999999999993</v>
      </c>
      <c r="J846">
        <f>HOUR(Table1[[#This Row],[START_DATE]])</f>
        <v>0</v>
      </c>
      <c r="K846" s="2">
        <f t="shared" si="26"/>
        <v>42665</v>
      </c>
      <c r="L846" t="str">
        <f t="shared" si="27"/>
        <v>Saturday</v>
      </c>
    </row>
    <row r="847" spans="1:12" x14ac:dyDescent="0.35">
      <c r="A847" s="1">
        <v>42665.55972222222</v>
      </c>
      <c r="B847" s="1">
        <v>42665.585416666669</v>
      </c>
      <c r="C847" t="s">
        <v>7</v>
      </c>
      <c r="D847" t="s">
        <v>15</v>
      </c>
      <c r="E847" t="s">
        <v>40</v>
      </c>
      <c r="F847">
        <v>17.2</v>
      </c>
      <c r="J847">
        <f>HOUR(Table1[[#This Row],[START_DATE]])</f>
        <v>13</v>
      </c>
      <c r="K847" s="2">
        <f t="shared" si="26"/>
        <v>42665</v>
      </c>
      <c r="L847" t="str">
        <f t="shared" si="27"/>
        <v>Saturday</v>
      </c>
    </row>
    <row r="848" spans="1:12" x14ac:dyDescent="0.35">
      <c r="A848" s="1">
        <v>42665.713888888888</v>
      </c>
      <c r="B848" s="1">
        <v>42665.746527777781</v>
      </c>
      <c r="C848" t="s">
        <v>7</v>
      </c>
      <c r="D848" t="s">
        <v>40</v>
      </c>
      <c r="E848" t="s">
        <v>15</v>
      </c>
      <c r="F848">
        <v>14</v>
      </c>
      <c r="J848">
        <f>HOUR(Table1[[#This Row],[START_DATE]])</f>
        <v>17</v>
      </c>
      <c r="K848" s="2">
        <f t="shared" si="26"/>
        <v>42665</v>
      </c>
      <c r="L848" t="str">
        <f t="shared" si="27"/>
        <v>Saturday</v>
      </c>
    </row>
    <row r="849" spans="1:12" x14ac:dyDescent="0.35">
      <c r="A849" s="1">
        <v>42666.39166666667</v>
      </c>
      <c r="B849" s="1">
        <v>42666.420138888891</v>
      </c>
      <c r="C849" t="s">
        <v>7</v>
      </c>
      <c r="D849" t="s">
        <v>15</v>
      </c>
      <c r="E849" t="s">
        <v>40</v>
      </c>
      <c r="F849">
        <v>28.1</v>
      </c>
      <c r="J849">
        <f>HOUR(Table1[[#This Row],[START_DATE]])</f>
        <v>9</v>
      </c>
      <c r="K849" s="2">
        <f t="shared" si="26"/>
        <v>42666</v>
      </c>
      <c r="L849" t="str">
        <f t="shared" si="27"/>
        <v>Sunday</v>
      </c>
    </row>
    <row r="850" spans="1:12" x14ac:dyDescent="0.35">
      <c r="A850" s="1">
        <v>42666.511805555558</v>
      </c>
      <c r="B850" s="1">
        <v>42666.540972222225</v>
      </c>
      <c r="C850" t="s">
        <v>7</v>
      </c>
      <c r="D850" t="s">
        <v>40</v>
      </c>
      <c r="E850" t="s">
        <v>15</v>
      </c>
      <c r="F850">
        <v>28.2</v>
      </c>
      <c r="J850">
        <f>HOUR(Table1[[#This Row],[START_DATE]])</f>
        <v>12</v>
      </c>
      <c r="K850" s="2">
        <f t="shared" si="26"/>
        <v>42666</v>
      </c>
      <c r="L850" t="str">
        <f t="shared" si="27"/>
        <v>Sunday</v>
      </c>
    </row>
    <row r="851" spans="1:12" x14ac:dyDescent="0.35">
      <c r="A851" s="1">
        <v>42666.794444444444</v>
      </c>
      <c r="B851" s="1">
        <v>42666.801388888889</v>
      </c>
      <c r="C851" t="s">
        <v>7</v>
      </c>
      <c r="D851" t="s">
        <v>15</v>
      </c>
      <c r="E851" t="s">
        <v>16</v>
      </c>
      <c r="F851">
        <v>3.1</v>
      </c>
      <c r="G851" t="s">
        <v>9</v>
      </c>
      <c r="J851">
        <f>HOUR(Table1[[#This Row],[START_DATE]])</f>
        <v>19</v>
      </c>
      <c r="K851" s="2">
        <f t="shared" si="26"/>
        <v>42666</v>
      </c>
      <c r="L851" t="str">
        <f t="shared" si="27"/>
        <v>Sunday</v>
      </c>
    </row>
    <row r="852" spans="1:12" x14ac:dyDescent="0.35">
      <c r="A852" s="1">
        <v>42666.881944444445</v>
      </c>
      <c r="B852" s="1">
        <v>42666.892361111109</v>
      </c>
      <c r="C852" t="s">
        <v>7</v>
      </c>
      <c r="D852" t="s">
        <v>16</v>
      </c>
      <c r="E852" t="s">
        <v>15</v>
      </c>
      <c r="F852">
        <v>3.1</v>
      </c>
      <c r="G852" t="s">
        <v>13</v>
      </c>
      <c r="J852">
        <f>HOUR(Table1[[#This Row],[START_DATE]])</f>
        <v>21</v>
      </c>
      <c r="K852" s="2">
        <f t="shared" si="26"/>
        <v>42666</v>
      </c>
      <c r="L852" t="str">
        <f t="shared" si="27"/>
        <v>Sunday</v>
      </c>
    </row>
    <row r="853" spans="1:12" x14ac:dyDescent="0.35">
      <c r="A853" s="1">
        <v>42667.622916666667</v>
      </c>
      <c r="B853" s="1">
        <v>42667.643055555556</v>
      </c>
      <c r="C853" t="s">
        <v>7</v>
      </c>
      <c r="D853" t="s">
        <v>15</v>
      </c>
      <c r="E853" t="s">
        <v>36</v>
      </c>
      <c r="F853">
        <v>16.399999999999999</v>
      </c>
      <c r="J853">
        <f>HOUR(Table1[[#This Row],[START_DATE]])</f>
        <v>14</v>
      </c>
      <c r="K853" s="2">
        <f t="shared" si="26"/>
        <v>42667</v>
      </c>
      <c r="L853" t="str">
        <f t="shared" si="27"/>
        <v>Monday</v>
      </c>
    </row>
    <row r="854" spans="1:12" x14ac:dyDescent="0.35">
      <c r="A854" s="1">
        <v>42667.647916666669</v>
      </c>
      <c r="B854" s="1">
        <v>42667.675694444442</v>
      </c>
      <c r="C854" t="s">
        <v>7</v>
      </c>
      <c r="D854" t="s">
        <v>36</v>
      </c>
      <c r="E854" t="s">
        <v>16</v>
      </c>
      <c r="F854">
        <v>15.4</v>
      </c>
      <c r="J854">
        <f>HOUR(Table1[[#This Row],[START_DATE]])</f>
        <v>15</v>
      </c>
      <c r="K854" s="2">
        <f t="shared" si="26"/>
        <v>42667</v>
      </c>
      <c r="L854" t="str">
        <f t="shared" si="27"/>
        <v>Monday</v>
      </c>
    </row>
    <row r="855" spans="1:12" x14ac:dyDescent="0.35">
      <c r="A855" s="1">
        <v>42667.69027777778</v>
      </c>
      <c r="B855" s="1">
        <v>42667.695138888892</v>
      </c>
      <c r="C855" t="s">
        <v>7</v>
      </c>
      <c r="D855" t="s">
        <v>16</v>
      </c>
      <c r="E855" t="s">
        <v>15</v>
      </c>
      <c r="F855">
        <v>2.2000000000000002</v>
      </c>
      <c r="J855">
        <f>HOUR(Table1[[#This Row],[START_DATE]])</f>
        <v>16</v>
      </c>
      <c r="K855" s="2">
        <f t="shared" si="26"/>
        <v>42667</v>
      </c>
      <c r="L855" t="str">
        <f t="shared" si="27"/>
        <v>Monday</v>
      </c>
    </row>
    <row r="856" spans="1:12" x14ac:dyDescent="0.35">
      <c r="A856" s="1">
        <v>42668.560416666667</v>
      </c>
      <c r="B856" s="1">
        <v>42668.588888888888</v>
      </c>
      <c r="C856" t="s">
        <v>7</v>
      </c>
      <c r="D856" t="s">
        <v>15</v>
      </c>
      <c r="E856" t="s">
        <v>48</v>
      </c>
      <c r="F856">
        <v>11.2</v>
      </c>
      <c r="J856">
        <f>HOUR(Table1[[#This Row],[START_DATE]])</f>
        <v>13</v>
      </c>
      <c r="K856" s="2">
        <f t="shared" si="26"/>
        <v>42668</v>
      </c>
      <c r="L856" t="str">
        <f t="shared" si="27"/>
        <v>Tuesday</v>
      </c>
    </row>
    <row r="857" spans="1:12" x14ac:dyDescent="0.35">
      <c r="A857" s="1">
        <v>42668.62777777778</v>
      </c>
      <c r="B857" s="1">
        <v>42668.632638888892</v>
      </c>
      <c r="C857" t="s">
        <v>7</v>
      </c>
      <c r="D857" t="s">
        <v>48</v>
      </c>
      <c r="E857" t="s">
        <v>196</v>
      </c>
      <c r="F857">
        <v>2.2000000000000002</v>
      </c>
      <c r="J857">
        <f>HOUR(Table1[[#This Row],[START_DATE]])</f>
        <v>15</v>
      </c>
      <c r="K857" s="2">
        <f t="shared" si="26"/>
        <v>42668</v>
      </c>
      <c r="L857" t="str">
        <f t="shared" si="27"/>
        <v>Tuesday</v>
      </c>
    </row>
    <row r="858" spans="1:12" x14ac:dyDescent="0.35">
      <c r="A858" s="1">
        <v>42668.636111111111</v>
      </c>
      <c r="B858" s="1">
        <v>42668.647916666669</v>
      </c>
      <c r="C858" t="s">
        <v>7</v>
      </c>
      <c r="D858" t="s">
        <v>196</v>
      </c>
      <c r="E858" t="s">
        <v>15</v>
      </c>
      <c r="F858">
        <v>3.6</v>
      </c>
      <c r="J858">
        <f>HOUR(Table1[[#This Row],[START_DATE]])</f>
        <v>15</v>
      </c>
      <c r="K858" s="2">
        <f t="shared" si="26"/>
        <v>42668</v>
      </c>
      <c r="L858" t="str">
        <f t="shared" si="27"/>
        <v>Tuesday</v>
      </c>
    </row>
    <row r="859" spans="1:12" x14ac:dyDescent="0.35">
      <c r="A859" s="1">
        <v>42668.833333333336</v>
      </c>
      <c r="B859" s="1">
        <v>42668.84097222222</v>
      </c>
      <c r="C859" t="s">
        <v>7</v>
      </c>
      <c r="D859" t="s">
        <v>38</v>
      </c>
      <c r="E859" t="s">
        <v>131</v>
      </c>
      <c r="F859">
        <v>3.6</v>
      </c>
      <c r="G859" t="s">
        <v>9</v>
      </c>
      <c r="J859">
        <f>HOUR(Table1[[#This Row],[START_DATE]])</f>
        <v>20</v>
      </c>
      <c r="K859" s="2">
        <f t="shared" si="26"/>
        <v>42668</v>
      </c>
      <c r="L859" t="str">
        <f t="shared" si="27"/>
        <v>Tuesday</v>
      </c>
    </row>
    <row r="860" spans="1:12" x14ac:dyDescent="0.35">
      <c r="A860" s="1">
        <v>42668.870833333334</v>
      </c>
      <c r="B860" s="1">
        <v>42668.877083333333</v>
      </c>
      <c r="C860" t="s">
        <v>7</v>
      </c>
      <c r="D860" t="s">
        <v>131</v>
      </c>
      <c r="E860" t="s">
        <v>116</v>
      </c>
      <c r="F860">
        <v>4.9000000000000004</v>
      </c>
      <c r="J860">
        <f>HOUR(Table1[[#This Row],[START_DATE]])</f>
        <v>20</v>
      </c>
      <c r="K860" s="2">
        <f t="shared" si="26"/>
        <v>42668</v>
      </c>
      <c r="L860" t="str">
        <f t="shared" si="27"/>
        <v>Tuesday</v>
      </c>
    </row>
    <row r="861" spans="1:12" x14ac:dyDescent="0.35">
      <c r="A861" s="1">
        <v>42668.933333333334</v>
      </c>
      <c r="B861" s="1">
        <v>42668.947916666664</v>
      </c>
      <c r="C861" t="s">
        <v>7</v>
      </c>
      <c r="D861" t="s">
        <v>116</v>
      </c>
      <c r="E861" t="s">
        <v>38</v>
      </c>
      <c r="F861">
        <v>8.6999999999999993</v>
      </c>
      <c r="G861" t="s">
        <v>10</v>
      </c>
      <c r="J861">
        <f>HOUR(Table1[[#This Row],[START_DATE]])</f>
        <v>22</v>
      </c>
      <c r="K861" s="2">
        <f t="shared" si="26"/>
        <v>42668</v>
      </c>
      <c r="L861" t="str">
        <f t="shared" si="27"/>
        <v>Tuesday</v>
      </c>
    </row>
    <row r="862" spans="1:12" x14ac:dyDescent="0.35">
      <c r="A862" s="1">
        <v>42669.809027777781</v>
      </c>
      <c r="B862" s="1">
        <v>42669.813194444447</v>
      </c>
      <c r="C862" t="s">
        <v>7</v>
      </c>
      <c r="D862" t="s">
        <v>38</v>
      </c>
      <c r="E862" t="s">
        <v>116</v>
      </c>
      <c r="F862">
        <v>2.1</v>
      </c>
      <c r="G862" t="s">
        <v>11</v>
      </c>
      <c r="J862">
        <f>HOUR(Table1[[#This Row],[START_DATE]])</f>
        <v>19</v>
      </c>
      <c r="K862" s="2">
        <f t="shared" si="26"/>
        <v>42669</v>
      </c>
      <c r="L862" t="str">
        <f t="shared" si="27"/>
        <v>Wednesday</v>
      </c>
    </row>
    <row r="863" spans="1:12" x14ac:dyDescent="0.35">
      <c r="A863" s="1">
        <v>42669.870138888888</v>
      </c>
      <c r="B863" s="1">
        <v>42669.877083333333</v>
      </c>
      <c r="C863" t="s">
        <v>7</v>
      </c>
      <c r="D863" t="s">
        <v>116</v>
      </c>
      <c r="E863" t="s">
        <v>38</v>
      </c>
      <c r="F863">
        <v>2.1</v>
      </c>
      <c r="J863">
        <f>HOUR(Table1[[#This Row],[START_DATE]])</f>
        <v>20</v>
      </c>
      <c r="K863" s="2">
        <f t="shared" si="26"/>
        <v>42669</v>
      </c>
      <c r="L863" t="str">
        <f t="shared" si="27"/>
        <v>Wednesday</v>
      </c>
    </row>
    <row r="864" spans="1:12" x14ac:dyDescent="0.35">
      <c r="A864" s="1">
        <v>42670.785416666666</v>
      </c>
      <c r="B864" s="1">
        <v>42670.802777777775</v>
      </c>
      <c r="C864" t="s">
        <v>7</v>
      </c>
      <c r="D864" t="s">
        <v>15</v>
      </c>
      <c r="E864" t="s">
        <v>16</v>
      </c>
      <c r="F864">
        <v>8.4</v>
      </c>
      <c r="G864" t="s">
        <v>11</v>
      </c>
      <c r="J864">
        <f>HOUR(Table1[[#This Row],[START_DATE]])</f>
        <v>18</v>
      </c>
      <c r="K864" s="2">
        <f t="shared" si="26"/>
        <v>42670</v>
      </c>
      <c r="L864" t="str">
        <f t="shared" si="27"/>
        <v>Thursday</v>
      </c>
    </row>
    <row r="865" spans="1:12" x14ac:dyDescent="0.35">
      <c r="A865" s="1">
        <v>42670.805555555555</v>
      </c>
      <c r="B865" s="1">
        <v>42670.815972222219</v>
      </c>
      <c r="C865" t="s">
        <v>7</v>
      </c>
      <c r="D865" t="s">
        <v>16</v>
      </c>
      <c r="E865" t="s">
        <v>16</v>
      </c>
      <c r="F865">
        <v>5.9</v>
      </c>
      <c r="J865">
        <f>HOUR(Table1[[#This Row],[START_DATE]])</f>
        <v>19</v>
      </c>
      <c r="K865" s="2">
        <f t="shared" si="26"/>
        <v>42670</v>
      </c>
      <c r="L865" t="str">
        <f t="shared" si="27"/>
        <v>Thursday</v>
      </c>
    </row>
    <row r="866" spans="1:12" x14ac:dyDescent="0.35">
      <c r="A866" s="1">
        <v>42670.827777777777</v>
      </c>
      <c r="B866" s="1">
        <v>42670.847916666666</v>
      </c>
      <c r="C866" t="s">
        <v>7</v>
      </c>
      <c r="D866" t="s">
        <v>135</v>
      </c>
      <c r="E866" t="s">
        <v>135</v>
      </c>
      <c r="F866">
        <v>12.1</v>
      </c>
      <c r="J866">
        <f>HOUR(Table1[[#This Row],[START_DATE]])</f>
        <v>19</v>
      </c>
      <c r="K866" s="2">
        <f t="shared" si="26"/>
        <v>42670</v>
      </c>
      <c r="L866" t="str">
        <f t="shared" si="27"/>
        <v>Thursday</v>
      </c>
    </row>
    <row r="867" spans="1:12" x14ac:dyDescent="0.35">
      <c r="A867" s="1">
        <v>42670.865972222222</v>
      </c>
      <c r="B867" s="1">
        <v>42670.870833333334</v>
      </c>
      <c r="C867" t="s">
        <v>7</v>
      </c>
      <c r="D867" t="s">
        <v>135</v>
      </c>
      <c r="E867" t="s">
        <v>75</v>
      </c>
      <c r="F867">
        <v>3.9</v>
      </c>
      <c r="J867">
        <f>HOUR(Table1[[#This Row],[START_DATE]])</f>
        <v>20</v>
      </c>
      <c r="K867" s="2">
        <f t="shared" si="26"/>
        <v>42670</v>
      </c>
      <c r="L867" t="str">
        <f t="shared" si="27"/>
        <v>Thursday</v>
      </c>
    </row>
    <row r="868" spans="1:12" x14ac:dyDescent="0.35">
      <c r="A868" s="1">
        <v>42670.893055555556</v>
      </c>
      <c r="B868" s="1">
        <v>42670.908333333333</v>
      </c>
      <c r="C868" t="s">
        <v>7</v>
      </c>
      <c r="D868" t="s">
        <v>16</v>
      </c>
      <c r="E868" t="s">
        <v>15</v>
      </c>
      <c r="F868">
        <v>6.2</v>
      </c>
      <c r="J868">
        <f>HOUR(Table1[[#This Row],[START_DATE]])</f>
        <v>21</v>
      </c>
      <c r="K868" s="2">
        <f t="shared" si="26"/>
        <v>42670</v>
      </c>
      <c r="L868" t="str">
        <f t="shared" si="27"/>
        <v>Thursday</v>
      </c>
    </row>
    <row r="869" spans="1:12" x14ac:dyDescent="0.35">
      <c r="A869" s="1">
        <v>42671.481944444444</v>
      </c>
      <c r="B869" s="1">
        <v>42671.494444444441</v>
      </c>
      <c r="C869" t="s">
        <v>7</v>
      </c>
      <c r="D869" t="s">
        <v>15</v>
      </c>
      <c r="E869" t="s">
        <v>36</v>
      </c>
      <c r="F869">
        <v>10.4</v>
      </c>
      <c r="G869" t="s">
        <v>11</v>
      </c>
      <c r="J869">
        <f>HOUR(Table1[[#This Row],[START_DATE]])</f>
        <v>11</v>
      </c>
      <c r="K869" s="2">
        <f t="shared" si="26"/>
        <v>42671</v>
      </c>
      <c r="L869" t="str">
        <f t="shared" si="27"/>
        <v>Friday</v>
      </c>
    </row>
    <row r="870" spans="1:12" x14ac:dyDescent="0.35">
      <c r="A870" s="1">
        <v>42671.54583333333</v>
      </c>
      <c r="B870" s="1">
        <v>42671.566666666666</v>
      </c>
      <c r="C870" t="s">
        <v>7</v>
      </c>
      <c r="D870" t="s">
        <v>36</v>
      </c>
      <c r="E870" t="s">
        <v>15</v>
      </c>
      <c r="F870">
        <v>9.9</v>
      </c>
      <c r="G870" t="s">
        <v>11</v>
      </c>
      <c r="J870">
        <f>HOUR(Table1[[#This Row],[START_DATE]])</f>
        <v>13</v>
      </c>
      <c r="K870" s="2">
        <f t="shared" si="26"/>
        <v>42671</v>
      </c>
      <c r="L870" t="str">
        <f t="shared" si="27"/>
        <v>Friday</v>
      </c>
    </row>
    <row r="871" spans="1:12" x14ac:dyDescent="0.35">
      <c r="A871" s="1">
        <v>42671.661805555559</v>
      </c>
      <c r="B871" s="1">
        <v>42671.749305555553</v>
      </c>
      <c r="C871" t="s">
        <v>7</v>
      </c>
      <c r="D871" t="s">
        <v>15</v>
      </c>
      <c r="E871" t="s">
        <v>197</v>
      </c>
      <c r="F871">
        <v>107</v>
      </c>
      <c r="G871" t="s">
        <v>11</v>
      </c>
      <c r="J871">
        <f>HOUR(Table1[[#This Row],[START_DATE]])</f>
        <v>15</v>
      </c>
      <c r="K871" s="2">
        <f t="shared" si="26"/>
        <v>42671</v>
      </c>
      <c r="L871" t="str">
        <f t="shared" si="27"/>
        <v>Friday</v>
      </c>
    </row>
    <row r="872" spans="1:12" x14ac:dyDescent="0.35">
      <c r="A872" s="1">
        <v>42671.759027777778</v>
      </c>
      <c r="B872" s="1">
        <v>42671.838194444441</v>
      </c>
      <c r="C872" t="s">
        <v>7</v>
      </c>
      <c r="D872" t="s">
        <v>197</v>
      </c>
      <c r="E872" t="s">
        <v>198</v>
      </c>
      <c r="F872">
        <v>133.6</v>
      </c>
      <c r="G872" t="s">
        <v>11</v>
      </c>
      <c r="J872">
        <f>HOUR(Table1[[#This Row],[START_DATE]])</f>
        <v>18</v>
      </c>
      <c r="K872" s="2">
        <f t="shared" si="26"/>
        <v>42671</v>
      </c>
      <c r="L872" t="str">
        <f t="shared" si="27"/>
        <v>Friday</v>
      </c>
    </row>
    <row r="873" spans="1:12" x14ac:dyDescent="0.35">
      <c r="A873" s="1">
        <v>42671.842361111114</v>
      </c>
      <c r="B873" s="1">
        <v>42671.916666666664</v>
      </c>
      <c r="C873" t="s">
        <v>7</v>
      </c>
      <c r="D873" t="s">
        <v>198</v>
      </c>
      <c r="E873" t="s">
        <v>199</v>
      </c>
      <c r="F873">
        <v>91.8</v>
      </c>
      <c r="G873" t="s">
        <v>11</v>
      </c>
      <c r="J873">
        <f>HOUR(Table1[[#This Row],[START_DATE]])</f>
        <v>20</v>
      </c>
      <c r="K873" s="2">
        <f t="shared" si="26"/>
        <v>42671</v>
      </c>
      <c r="L873" t="str">
        <f t="shared" si="27"/>
        <v>Friday</v>
      </c>
    </row>
    <row r="874" spans="1:12" x14ac:dyDescent="0.35">
      <c r="A874" s="1">
        <v>42672.640277777777</v>
      </c>
      <c r="B874" s="1">
        <v>42672.711805555555</v>
      </c>
      <c r="C874" t="s">
        <v>7</v>
      </c>
      <c r="D874" t="s">
        <v>199</v>
      </c>
      <c r="E874" t="s">
        <v>200</v>
      </c>
      <c r="F874">
        <v>40.700000000000003</v>
      </c>
      <c r="G874" t="s">
        <v>11</v>
      </c>
      <c r="J874">
        <f>HOUR(Table1[[#This Row],[START_DATE]])</f>
        <v>15</v>
      </c>
      <c r="K874" s="2">
        <f t="shared" si="26"/>
        <v>42672</v>
      </c>
      <c r="L874" t="str">
        <f t="shared" si="27"/>
        <v>Saturday</v>
      </c>
    </row>
    <row r="875" spans="1:12" x14ac:dyDescent="0.35">
      <c r="A875" s="1">
        <v>42672.717361111114</v>
      </c>
      <c r="B875" s="1">
        <v>42672.804861111108</v>
      </c>
      <c r="C875" t="s">
        <v>7</v>
      </c>
      <c r="D875" t="s">
        <v>200</v>
      </c>
      <c r="E875" t="s">
        <v>199</v>
      </c>
      <c r="F875">
        <v>75.7</v>
      </c>
      <c r="J875">
        <f>HOUR(Table1[[#This Row],[START_DATE]])</f>
        <v>17</v>
      </c>
      <c r="K875" s="2">
        <f t="shared" si="26"/>
        <v>42672</v>
      </c>
      <c r="L875" t="str">
        <f t="shared" si="27"/>
        <v>Saturday</v>
      </c>
    </row>
    <row r="876" spans="1:12" x14ac:dyDescent="0.35">
      <c r="A876" s="1">
        <v>42673.325694444444</v>
      </c>
      <c r="B876" s="1">
        <v>42673.354166666664</v>
      </c>
      <c r="C876" t="s">
        <v>7</v>
      </c>
      <c r="D876" t="s">
        <v>199</v>
      </c>
      <c r="E876" t="s">
        <v>201</v>
      </c>
      <c r="F876">
        <v>29.8</v>
      </c>
      <c r="J876">
        <f>HOUR(Table1[[#This Row],[START_DATE]])</f>
        <v>7</v>
      </c>
      <c r="K876" s="2">
        <f t="shared" si="26"/>
        <v>42673</v>
      </c>
      <c r="L876" t="str">
        <f t="shared" si="27"/>
        <v>Sunday</v>
      </c>
    </row>
    <row r="877" spans="1:12" x14ac:dyDescent="0.35">
      <c r="A877" s="1">
        <v>42673.379861111112</v>
      </c>
      <c r="B877" s="1">
        <v>42673.42291666667</v>
      </c>
      <c r="C877" t="s">
        <v>7</v>
      </c>
      <c r="D877" t="s">
        <v>201</v>
      </c>
      <c r="E877" t="s">
        <v>201</v>
      </c>
      <c r="F877">
        <v>16.3</v>
      </c>
      <c r="J877">
        <f>HOUR(Table1[[#This Row],[START_DATE]])</f>
        <v>9</v>
      </c>
      <c r="K877" s="2">
        <f t="shared" si="26"/>
        <v>42673</v>
      </c>
      <c r="L877" t="str">
        <f t="shared" si="27"/>
        <v>Sunday</v>
      </c>
    </row>
    <row r="878" spans="1:12" x14ac:dyDescent="0.35">
      <c r="A878" s="1">
        <v>42673.424305555556</v>
      </c>
      <c r="B878" s="1">
        <v>42673.443055555559</v>
      </c>
      <c r="C878" t="s">
        <v>7</v>
      </c>
      <c r="D878" t="s">
        <v>201</v>
      </c>
      <c r="E878" t="s">
        <v>201</v>
      </c>
      <c r="F878">
        <v>6.5</v>
      </c>
      <c r="J878">
        <f>HOUR(Table1[[#This Row],[START_DATE]])</f>
        <v>10</v>
      </c>
      <c r="K878" s="2">
        <f t="shared" si="26"/>
        <v>42673</v>
      </c>
      <c r="L878" t="str">
        <f t="shared" si="27"/>
        <v>Sunday</v>
      </c>
    </row>
    <row r="879" spans="1:12" x14ac:dyDescent="0.35">
      <c r="A879" s="1">
        <v>42673.45208333333</v>
      </c>
      <c r="B879" s="1">
        <v>42673.472916666666</v>
      </c>
      <c r="C879" t="s">
        <v>7</v>
      </c>
      <c r="D879" t="s">
        <v>201</v>
      </c>
      <c r="E879" t="s">
        <v>201</v>
      </c>
      <c r="F879">
        <v>6.3</v>
      </c>
      <c r="J879">
        <f>HOUR(Table1[[#This Row],[START_DATE]])</f>
        <v>10</v>
      </c>
      <c r="K879" s="2">
        <f t="shared" si="26"/>
        <v>42673</v>
      </c>
      <c r="L879" t="str">
        <f t="shared" si="27"/>
        <v>Sunday</v>
      </c>
    </row>
    <row r="880" spans="1:12" x14ac:dyDescent="0.35">
      <c r="A880" s="1">
        <v>42673.51666666667</v>
      </c>
      <c r="B880" s="1">
        <v>42673.524305555555</v>
      </c>
      <c r="C880" t="s">
        <v>7</v>
      </c>
      <c r="D880" t="s">
        <v>201</v>
      </c>
      <c r="E880" t="s">
        <v>202</v>
      </c>
      <c r="F880">
        <v>6.6</v>
      </c>
      <c r="J880">
        <f>HOUR(Table1[[#This Row],[START_DATE]])</f>
        <v>12</v>
      </c>
      <c r="K880" s="2">
        <f t="shared" si="26"/>
        <v>42673</v>
      </c>
      <c r="L880" t="str">
        <f t="shared" si="27"/>
        <v>Sunday</v>
      </c>
    </row>
    <row r="881" spans="1:12" x14ac:dyDescent="0.35">
      <c r="A881" s="1">
        <v>42673.540277777778</v>
      </c>
      <c r="B881" s="1">
        <v>42673.554166666669</v>
      </c>
      <c r="C881" t="s">
        <v>7</v>
      </c>
      <c r="D881" t="s">
        <v>202</v>
      </c>
      <c r="E881" t="s">
        <v>201</v>
      </c>
      <c r="F881">
        <v>15.2</v>
      </c>
      <c r="J881">
        <f>HOUR(Table1[[#This Row],[START_DATE]])</f>
        <v>12</v>
      </c>
      <c r="K881" s="2">
        <f t="shared" si="26"/>
        <v>42673</v>
      </c>
      <c r="L881" t="str">
        <f t="shared" si="27"/>
        <v>Sunday</v>
      </c>
    </row>
    <row r="882" spans="1:12" x14ac:dyDescent="0.35">
      <c r="A882" s="1">
        <v>42673.558333333334</v>
      </c>
      <c r="B882" s="1">
        <v>42673.609027777777</v>
      </c>
      <c r="C882" t="s">
        <v>7</v>
      </c>
      <c r="D882" t="s">
        <v>201</v>
      </c>
      <c r="E882" t="s">
        <v>198</v>
      </c>
      <c r="F882">
        <v>68.400000000000006</v>
      </c>
      <c r="J882">
        <f>HOUR(Table1[[#This Row],[START_DATE]])</f>
        <v>13</v>
      </c>
      <c r="K882" s="2">
        <f t="shared" si="26"/>
        <v>42673</v>
      </c>
      <c r="L882" t="str">
        <f t="shared" si="27"/>
        <v>Sunday</v>
      </c>
    </row>
    <row r="883" spans="1:12" x14ac:dyDescent="0.35">
      <c r="A883" s="1">
        <v>42673.640277777777</v>
      </c>
      <c r="B883" s="1">
        <v>42673.765972222223</v>
      </c>
      <c r="C883" t="s">
        <v>7</v>
      </c>
      <c r="D883" t="s">
        <v>198</v>
      </c>
      <c r="E883" t="s">
        <v>203</v>
      </c>
      <c r="F883">
        <v>195.9</v>
      </c>
      <c r="J883">
        <f>HOUR(Table1[[#This Row],[START_DATE]])</f>
        <v>15</v>
      </c>
      <c r="K883" s="2">
        <f t="shared" si="26"/>
        <v>42673</v>
      </c>
      <c r="L883" t="str">
        <f t="shared" si="27"/>
        <v>Sunday</v>
      </c>
    </row>
    <row r="884" spans="1:12" x14ac:dyDescent="0.35">
      <c r="A884" s="1">
        <v>42673.768055555556</v>
      </c>
      <c r="B884" s="1">
        <v>42673.818749999999</v>
      </c>
      <c r="C884" t="s">
        <v>7</v>
      </c>
      <c r="D884" t="s">
        <v>203</v>
      </c>
      <c r="E884" t="s">
        <v>15</v>
      </c>
      <c r="F884">
        <v>45.2</v>
      </c>
      <c r="J884">
        <f>HOUR(Table1[[#This Row],[START_DATE]])</f>
        <v>18</v>
      </c>
      <c r="K884" s="2">
        <f t="shared" si="26"/>
        <v>42673</v>
      </c>
      <c r="L884" t="str">
        <f t="shared" si="27"/>
        <v>Sunday</v>
      </c>
    </row>
    <row r="885" spans="1:12" x14ac:dyDescent="0.35">
      <c r="A885" s="1">
        <v>42674.757638888892</v>
      </c>
      <c r="B885" s="1">
        <v>42674.763888888891</v>
      </c>
      <c r="C885" t="s">
        <v>7</v>
      </c>
      <c r="D885" t="s">
        <v>15</v>
      </c>
      <c r="E885" t="s">
        <v>16</v>
      </c>
      <c r="F885">
        <v>3.2</v>
      </c>
      <c r="J885">
        <f>HOUR(Table1[[#This Row],[START_DATE]])</f>
        <v>18</v>
      </c>
      <c r="K885" s="2">
        <f t="shared" si="26"/>
        <v>42674</v>
      </c>
      <c r="L885" t="str">
        <f t="shared" si="27"/>
        <v>Monday</v>
      </c>
    </row>
    <row r="886" spans="1:12" x14ac:dyDescent="0.35">
      <c r="A886" s="1">
        <v>42674.782638888886</v>
      </c>
      <c r="B886" s="1">
        <v>42674.802777777775</v>
      </c>
      <c r="C886" t="s">
        <v>7</v>
      </c>
      <c r="D886" t="s">
        <v>16</v>
      </c>
      <c r="E886" t="s">
        <v>40</v>
      </c>
      <c r="F886">
        <v>10.3</v>
      </c>
      <c r="J886">
        <f>HOUR(Table1[[#This Row],[START_DATE]])</f>
        <v>18</v>
      </c>
      <c r="K886" s="2">
        <f t="shared" si="26"/>
        <v>42674</v>
      </c>
      <c r="L886" t="str">
        <f t="shared" si="27"/>
        <v>Monday</v>
      </c>
    </row>
    <row r="887" spans="1:12" x14ac:dyDescent="0.35">
      <c r="A887" s="1">
        <v>42674.845833333333</v>
      </c>
      <c r="B887" s="1">
        <v>42674.863888888889</v>
      </c>
      <c r="C887" t="s">
        <v>7</v>
      </c>
      <c r="D887" t="s">
        <v>40</v>
      </c>
      <c r="E887" t="s">
        <v>15</v>
      </c>
      <c r="F887">
        <v>13.1</v>
      </c>
      <c r="J887">
        <f>HOUR(Table1[[#This Row],[START_DATE]])</f>
        <v>20</v>
      </c>
      <c r="K887" s="2">
        <f t="shared" si="26"/>
        <v>42674</v>
      </c>
      <c r="L887" t="str">
        <f t="shared" si="27"/>
        <v>Monday</v>
      </c>
    </row>
    <row r="888" spans="1:12" x14ac:dyDescent="0.35">
      <c r="A888" s="1">
        <v>42674.90625</v>
      </c>
      <c r="B888" s="1">
        <v>42674.923611111109</v>
      </c>
      <c r="C888" t="s">
        <v>7</v>
      </c>
      <c r="D888" t="s">
        <v>131</v>
      </c>
      <c r="E888" t="s">
        <v>38</v>
      </c>
      <c r="F888">
        <v>9.6</v>
      </c>
      <c r="G888" t="s">
        <v>10</v>
      </c>
      <c r="J888">
        <f>HOUR(Table1[[#This Row],[START_DATE]])</f>
        <v>21</v>
      </c>
      <c r="K888" s="2">
        <f t="shared" si="26"/>
        <v>42674</v>
      </c>
      <c r="L888" t="str">
        <f t="shared" si="27"/>
        <v>Monday</v>
      </c>
    </row>
    <row r="889" spans="1:12" x14ac:dyDescent="0.35">
      <c r="A889" s="1">
        <v>42675.493055555555</v>
      </c>
      <c r="B889" s="1">
        <v>42675.518750000003</v>
      </c>
      <c r="C889" t="s">
        <v>7</v>
      </c>
      <c r="D889" t="s">
        <v>15</v>
      </c>
      <c r="E889" t="s">
        <v>36</v>
      </c>
      <c r="F889">
        <v>16.5</v>
      </c>
      <c r="J889">
        <f>HOUR(Table1[[#This Row],[START_DATE]])</f>
        <v>11</v>
      </c>
      <c r="K889" s="2">
        <f t="shared" si="26"/>
        <v>42675</v>
      </c>
      <c r="L889" t="str">
        <f t="shared" si="27"/>
        <v>Tuesday</v>
      </c>
    </row>
    <row r="890" spans="1:12" x14ac:dyDescent="0.35">
      <c r="A890" s="1">
        <v>42675.686805555553</v>
      </c>
      <c r="B890" s="1">
        <v>42675.709722222222</v>
      </c>
      <c r="C890" t="s">
        <v>7</v>
      </c>
      <c r="D890" t="s">
        <v>36</v>
      </c>
      <c r="E890" t="s">
        <v>15</v>
      </c>
      <c r="F890">
        <v>12.8</v>
      </c>
      <c r="J890">
        <f>HOUR(Table1[[#This Row],[START_DATE]])</f>
        <v>16</v>
      </c>
      <c r="K890" s="2">
        <f t="shared" si="26"/>
        <v>42675</v>
      </c>
      <c r="L890" t="str">
        <f t="shared" si="27"/>
        <v>Tuesday</v>
      </c>
    </row>
    <row r="891" spans="1:12" x14ac:dyDescent="0.35">
      <c r="A891" s="1">
        <v>42675.732638888891</v>
      </c>
      <c r="B891" s="1">
        <v>42675.737500000003</v>
      </c>
      <c r="C891" t="s">
        <v>7</v>
      </c>
      <c r="D891" t="s">
        <v>38</v>
      </c>
      <c r="E891" t="s">
        <v>38</v>
      </c>
      <c r="F891">
        <v>1.2</v>
      </c>
      <c r="J891">
        <f>HOUR(Table1[[#This Row],[START_DATE]])</f>
        <v>17</v>
      </c>
      <c r="K891" s="2">
        <f t="shared" si="26"/>
        <v>42675</v>
      </c>
      <c r="L891" t="str">
        <f t="shared" si="27"/>
        <v>Tuesday</v>
      </c>
    </row>
    <row r="892" spans="1:12" x14ac:dyDescent="0.35">
      <c r="A892" s="1">
        <v>42675.801388888889</v>
      </c>
      <c r="B892" s="1">
        <v>42675.805555555555</v>
      </c>
      <c r="C892" t="s">
        <v>7</v>
      </c>
      <c r="D892" t="s">
        <v>38</v>
      </c>
      <c r="E892" t="s">
        <v>38</v>
      </c>
      <c r="F892">
        <v>1</v>
      </c>
      <c r="J892">
        <f>HOUR(Table1[[#This Row],[START_DATE]])</f>
        <v>19</v>
      </c>
      <c r="K892" s="2">
        <f t="shared" si="26"/>
        <v>42675</v>
      </c>
      <c r="L892" t="str">
        <f t="shared" si="27"/>
        <v>Tuesday</v>
      </c>
    </row>
    <row r="893" spans="1:12" x14ac:dyDescent="0.35">
      <c r="A893" s="1">
        <v>42675.832638888889</v>
      </c>
      <c r="B893" s="1">
        <v>42675.841666666667</v>
      </c>
      <c r="C893" t="s">
        <v>7</v>
      </c>
      <c r="D893" t="s">
        <v>38</v>
      </c>
      <c r="E893" t="s">
        <v>38</v>
      </c>
      <c r="F893">
        <v>4.0999999999999996</v>
      </c>
      <c r="J893">
        <f>HOUR(Table1[[#This Row],[START_DATE]])</f>
        <v>19</v>
      </c>
      <c r="K893" s="2">
        <f t="shared" si="26"/>
        <v>42675</v>
      </c>
      <c r="L893" t="str">
        <f t="shared" si="27"/>
        <v>Tuesday</v>
      </c>
    </row>
    <row r="894" spans="1:12" x14ac:dyDescent="0.35">
      <c r="A894" s="1">
        <v>42675.861805555556</v>
      </c>
      <c r="B894" s="1">
        <v>42675.871527777781</v>
      </c>
      <c r="C894" t="s">
        <v>7</v>
      </c>
      <c r="D894" t="s">
        <v>38</v>
      </c>
      <c r="E894" t="s">
        <v>38</v>
      </c>
      <c r="F894">
        <v>4.2</v>
      </c>
      <c r="G894" t="s">
        <v>9</v>
      </c>
      <c r="J894">
        <f>HOUR(Table1[[#This Row],[START_DATE]])</f>
        <v>20</v>
      </c>
      <c r="K894" s="2">
        <f t="shared" si="26"/>
        <v>42675</v>
      </c>
      <c r="L894" t="str">
        <f t="shared" si="27"/>
        <v>Tuesday</v>
      </c>
    </row>
    <row r="895" spans="1:12" x14ac:dyDescent="0.35">
      <c r="A895" s="1">
        <v>42676.631944444445</v>
      </c>
      <c r="B895" s="1">
        <v>42676.637499999997</v>
      </c>
      <c r="C895" t="s">
        <v>7</v>
      </c>
      <c r="D895" t="s">
        <v>38</v>
      </c>
      <c r="E895" t="s">
        <v>44</v>
      </c>
      <c r="F895">
        <v>1.4</v>
      </c>
      <c r="J895">
        <f>HOUR(Table1[[#This Row],[START_DATE]])</f>
        <v>15</v>
      </c>
      <c r="K895" s="2">
        <f t="shared" si="26"/>
        <v>42676</v>
      </c>
      <c r="L895" t="str">
        <f t="shared" si="27"/>
        <v>Wednesday</v>
      </c>
    </row>
    <row r="896" spans="1:12" x14ac:dyDescent="0.35">
      <c r="A896" s="1">
        <v>42676.65625</v>
      </c>
      <c r="B896" s="1">
        <v>42676.661111111112</v>
      </c>
      <c r="C896" t="s">
        <v>7</v>
      </c>
      <c r="D896" t="s">
        <v>44</v>
      </c>
      <c r="E896" t="s">
        <v>38</v>
      </c>
      <c r="F896">
        <v>1.8</v>
      </c>
      <c r="J896">
        <f>HOUR(Table1[[#This Row],[START_DATE]])</f>
        <v>15</v>
      </c>
      <c r="K896" s="2">
        <f t="shared" si="26"/>
        <v>42676</v>
      </c>
      <c r="L896" t="str">
        <f t="shared" si="27"/>
        <v>Wednesday</v>
      </c>
    </row>
    <row r="897" spans="1:12" x14ac:dyDescent="0.35">
      <c r="A897" s="1">
        <v>42676.698611111111</v>
      </c>
      <c r="B897" s="1">
        <v>42676.71597222222</v>
      </c>
      <c r="C897" t="s">
        <v>7</v>
      </c>
      <c r="D897" t="s">
        <v>15</v>
      </c>
      <c r="E897" t="s">
        <v>16</v>
      </c>
      <c r="F897">
        <v>8.5</v>
      </c>
      <c r="G897" t="s">
        <v>11</v>
      </c>
      <c r="J897">
        <f>HOUR(Table1[[#This Row],[START_DATE]])</f>
        <v>16</v>
      </c>
      <c r="K897" s="2">
        <f t="shared" si="26"/>
        <v>42676</v>
      </c>
      <c r="L897" t="str">
        <f t="shared" si="27"/>
        <v>Wednesday</v>
      </c>
    </row>
    <row r="898" spans="1:12" x14ac:dyDescent="0.35">
      <c r="A898" s="1">
        <v>42676.731944444444</v>
      </c>
      <c r="B898" s="1">
        <v>42676.742361111108</v>
      </c>
      <c r="C898" t="s">
        <v>7</v>
      </c>
      <c r="D898" t="s">
        <v>16</v>
      </c>
      <c r="E898" t="s">
        <v>16</v>
      </c>
      <c r="F898">
        <v>5</v>
      </c>
      <c r="J898">
        <f>HOUR(Table1[[#This Row],[START_DATE]])</f>
        <v>17</v>
      </c>
      <c r="K898" s="2">
        <f t="shared" si="26"/>
        <v>42676</v>
      </c>
      <c r="L898" t="str">
        <f t="shared" si="27"/>
        <v>Wednesday</v>
      </c>
    </row>
    <row r="899" spans="1:12" x14ac:dyDescent="0.35">
      <c r="A899" s="1">
        <v>42676.745138888888</v>
      </c>
      <c r="B899" s="1">
        <v>42676.75</v>
      </c>
      <c r="C899" t="s">
        <v>7</v>
      </c>
      <c r="D899" t="s">
        <v>16</v>
      </c>
      <c r="E899" t="s">
        <v>15</v>
      </c>
      <c r="F899">
        <v>3.8</v>
      </c>
      <c r="J899">
        <f>HOUR(Table1[[#This Row],[START_DATE]])</f>
        <v>17</v>
      </c>
      <c r="K899" s="2">
        <f t="shared" ref="K899:K962" si="28">DATE(YEAR(A899), MONTH(A899), DAY(A899))</f>
        <v>42676</v>
      </c>
      <c r="L899" t="str">
        <f t="shared" ref="L899:L962" si="29">TEXT(A899,"dddd")</f>
        <v>Wednesday</v>
      </c>
    </row>
    <row r="900" spans="1:12" x14ac:dyDescent="0.35">
      <c r="A900" s="1">
        <v>42677.477777777778</v>
      </c>
      <c r="B900" s="1">
        <v>42677.481944444444</v>
      </c>
      <c r="C900" t="s">
        <v>7</v>
      </c>
      <c r="D900" t="s">
        <v>38</v>
      </c>
      <c r="E900" t="s">
        <v>43</v>
      </c>
      <c r="F900">
        <v>2.5</v>
      </c>
      <c r="J900">
        <f>HOUR(Table1[[#This Row],[START_DATE]])</f>
        <v>11</v>
      </c>
      <c r="K900" s="2">
        <f t="shared" si="28"/>
        <v>42677</v>
      </c>
      <c r="L900" t="str">
        <f t="shared" si="29"/>
        <v>Thursday</v>
      </c>
    </row>
    <row r="901" spans="1:12" x14ac:dyDescent="0.35">
      <c r="A901" s="1">
        <v>42677.529861111114</v>
      </c>
      <c r="B901" s="1">
        <v>42677.53402777778</v>
      </c>
      <c r="C901" t="s">
        <v>7</v>
      </c>
      <c r="D901" t="s">
        <v>43</v>
      </c>
      <c r="E901" t="s">
        <v>38</v>
      </c>
      <c r="F901">
        <v>2.4</v>
      </c>
      <c r="J901">
        <f>HOUR(Table1[[#This Row],[START_DATE]])</f>
        <v>12</v>
      </c>
      <c r="K901" s="2">
        <f t="shared" si="28"/>
        <v>42677</v>
      </c>
      <c r="L901" t="str">
        <f t="shared" si="29"/>
        <v>Thursday</v>
      </c>
    </row>
    <row r="902" spans="1:12" x14ac:dyDescent="0.35">
      <c r="A902" s="1">
        <v>42677.570833333331</v>
      </c>
      <c r="B902" s="1">
        <v>42677.574305555558</v>
      </c>
      <c r="C902" t="s">
        <v>7</v>
      </c>
      <c r="D902" t="s">
        <v>38</v>
      </c>
      <c r="E902" t="s">
        <v>44</v>
      </c>
      <c r="F902">
        <v>1.4</v>
      </c>
      <c r="J902">
        <f>HOUR(Table1[[#This Row],[START_DATE]])</f>
        <v>13</v>
      </c>
      <c r="K902" s="2">
        <f t="shared" si="28"/>
        <v>42677</v>
      </c>
      <c r="L902" t="str">
        <f t="shared" si="29"/>
        <v>Thursday</v>
      </c>
    </row>
    <row r="903" spans="1:12" x14ac:dyDescent="0.35">
      <c r="A903" s="1">
        <v>42677.592361111114</v>
      </c>
      <c r="B903" s="1">
        <v>42677.601388888892</v>
      </c>
      <c r="C903" t="s">
        <v>7</v>
      </c>
      <c r="D903" t="s">
        <v>44</v>
      </c>
      <c r="E903" t="s">
        <v>38</v>
      </c>
      <c r="F903">
        <v>1.8</v>
      </c>
      <c r="J903">
        <f>HOUR(Table1[[#This Row],[START_DATE]])</f>
        <v>14</v>
      </c>
      <c r="K903" s="2">
        <f t="shared" si="28"/>
        <v>42677</v>
      </c>
      <c r="L903" t="str">
        <f t="shared" si="29"/>
        <v>Thursday</v>
      </c>
    </row>
    <row r="904" spans="1:12" x14ac:dyDescent="0.35">
      <c r="A904" s="1">
        <v>42677.785416666666</v>
      </c>
      <c r="B904" s="1">
        <v>42677.797222222223</v>
      </c>
      <c r="C904" t="s">
        <v>7</v>
      </c>
      <c r="D904" t="s">
        <v>15</v>
      </c>
      <c r="E904" t="s">
        <v>16</v>
      </c>
      <c r="F904">
        <v>3.1</v>
      </c>
      <c r="G904" t="s">
        <v>9</v>
      </c>
      <c r="J904">
        <f>HOUR(Table1[[#This Row],[START_DATE]])</f>
        <v>18</v>
      </c>
      <c r="K904" s="2">
        <f t="shared" si="28"/>
        <v>42677</v>
      </c>
      <c r="L904" t="str">
        <f t="shared" si="29"/>
        <v>Thursday</v>
      </c>
    </row>
    <row r="905" spans="1:12" x14ac:dyDescent="0.35">
      <c r="A905" s="1">
        <v>42677.948611111111</v>
      </c>
      <c r="B905" s="1">
        <v>42677.956944444442</v>
      </c>
      <c r="C905" t="s">
        <v>7</v>
      </c>
      <c r="D905" t="s">
        <v>16</v>
      </c>
      <c r="E905" t="s">
        <v>15</v>
      </c>
      <c r="F905">
        <v>3.1</v>
      </c>
      <c r="G905" t="s">
        <v>13</v>
      </c>
      <c r="J905">
        <f>HOUR(Table1[[#This Row],[START_DATE]])</f>
        <v>22</v>
      </c>
      <c r="K905" s="2">
        <f t="shared" si="28"/>
        <v>42677</v>
      </c>
      <c r="L905" t="str">
        <f t="shared" si="29"/>
        <v>Thursday</v>
      </c>
    </row>
    <row r="906" spans="1:12" x14ac:dyDescent="0.35">
      <c r="A906" s="1">
        <v>42678.418055555558</v>
      </c>
      <c r="B906" s="1">
        <v>42678.429166666669</v>
      </c>
      <c r="C906" t="s">
        <v>7</v>
      </c>
      <c r="D906" t="s">
        <v>15</v>
      </c>
      <c r="E906" t="s">
        <v>16</v>
      </c>
      <c r="F906">
        <v>7.9</v>
      </c>
      <c r="G906" t="s">
        <v>24</v>
      </c>
      <c r="J906">
        <f>HOUR(Table1[[#This Row],[START_DATE]])</f>
        <v>10</v>
      </c>
      <c r="K906" s="2">
        <f t="shared" si="28"/>
        <v>42678</v>
      </c>
      <c r="L906" t="str">
        <f t="shared" si="29"/>
        <v>Friday</v>
      </c>
    </row>
    <row r="907" spans="1:12" x14ac:dyDescent="0.35">
      <c r="A907" s="1">
        <v>42678.759722222225</v>
      </c>
      <c r="B907" s="1">
        <v>42678.76458333333</v>
      </c>
      <c r="C907" t="s">
        <v>7</v>
      </c>
      <c r="D907" t="s">
        <v>195</v>
      </c>
      <c r="E907" t="s">
        <v>204</v>
      </c>
      <c r="F907">
        <v>3.8</v>
      </c>
      <c r="J907">
        <f>HOUR(Table1[[#This Row],[START_DATE]])</f>
        <v>18</v>
      </c>
      <c r="K907" s="2">
        <f t="shared" si="28"/>
        <v>42678</v>
      </c>
      <c r="L907" t="str">
        <f t="shared" si="29"/>
        <v>Friday</v>
      </c>
    </row>
    <row r="908" spans="1:12" x14ac:dyDescent="0.35">
      <c r="A908" s="1">
        <v>42678.87777777778</v>
      </c>
      <c r="B908" s="1">
        <v>42678.888888888891</v>
      </c>
      <c r="C908" t="s">
        <v>7</v>
      </c>
      <c r="D908" t="s">
        <v>205</v>
      </c>
      <c r="E908" t="s">
        <v>206</v>
      </c>
      <c r="F908">
        <v>4.3</v>
      </c>
      <c r="J908">
        <f>HOUR(Table1[[#This Row],[START_DATE]])</f>
        <v>21</v>
      </c>
      <c r="K908" s="2">
        <f t="shared" si="28"/>
        <v>42678</v>
      </c>
      <c r="L908" t="str">
        <f t="shared" si="29"/>
        <v>Friday</v>
      </c>
    </row>
    <row r="909" spans="1:12" x14ac:dyDescent="0.35">
      <c r="A909" s="1">
        <v>42678.925000000003</v>
      </c>
      <c r="B909" s="1">
        <v>42678.934027777781</v>
      </c>
      <c r="C909" t="s">
        <v>7</v>
      </c>
      <c r="D909" t="s">
        <v>206</v>
      </c>
      <c r="E909" t="s">
        <v>205</v>
      </c>
      <c r="F909">
        <v>3.9</v>
      </c>
      <c r="J909">
        <f>HOUR(Table1[[#This Row],[START_DATE]])</f>
        <v>22</v>
      </c>
      <c r="K909" s="2">
        <f t="shared" si="28"/>
        <v>42678</v>
      </c>
      <c r="L909" t="str">
        <f t="shared" si="29"/>
        <v>Friday</v>
      </c>
    </row>
    <row r="910" spans="1:12" x14ac:dyDescent="0.35">
      <c r="A910" s="1">
        <v>42679.356944444444</v>
      </c>
      <c r="B910" s="1">
        <v>42679.363194444442</v>
      </c>
      <c r="C910" t="s">
        <v>7</v>
      </c>
      <c r="D910" t="s">
        <v>205</v>
      </c>
      <c r="E910" t="s">
        <v>207</v>
      </c>
      <c r="F910">
        <v>2.2000000000000002</v>
      </c>
      <c r="J910">
        <f>HOUR(Table1[[#This Row],[START_DATE]])</f>
        <v>8</v>
      </c>
      <c r="K910" s="2">
        <f t="shared" si="28"/>
        <v>42679</v>
      </c>
      <c r="L910" t="str">
        <f t="shared" si="29"/>
        <v>Saturday</v>
      </c>
    </row>
    <row r="911" spans="1:12" x14ac:dyDescent="0.35">
      <c r="A911" s="1">
        <v>42679.728472222225</v>
      </c>
      <c r="B911" s="1">
        <v>42679.736111111109</v>
      </c>
      <c r="C911" t="s">
        <v>7</v>
      </c>
      <c r="D911" t="s">
        <v>207</v>
      </c>
      <c r="E911" t="s">
        <v>205</v>
      </c>
      <c r="F911">
        <v>2.8</v>
      </c>
      <c r="J911">
        <f>HOUR(Table1[[#This Row],[START_DATE]])</f>
        <v>17</v>
      </c>
      <c r="K911" s="2">
        <f t="shared" si="28"/>
        <v>42679</v>
      </c>
      <c r="L911" t="str">
        <f t="shared" si="29"/>
        <v>Saturday</v>
      </c>
    </row>
    <row r="912" spans="1:12" x14ac:dyDescent="0.35">
      <c r="A912" s="1">
        <v>42679.805555555555</v>
      </c>
      <c r="B912" s="1">
        <v>42679.811111111114</v>
      </c>
      <c r="C912" t="s">
        <v>7</v>
      </c>
      <c r="D912" t="s">
        <v>205</v>
      </c>
      <c r="E912" t="s">
        <v>205</v>
      </c>
      <c r="F912">
        <v>2.2000000000000002</v>
      </c>
      <c r="J912">
        <f>HOUR(Table1[[#This Row],[START_DATE]])</f>
        <v>19</v>
      </c>
      <c r="K912" s="2">
        <f t="shared" si="28"/>
        <v>42679</v>
      </c>
      <c r="L912" t="str">
        <f t="shared" si="29"/>
        <v>Saturday</v>
      </c>
    </row>
    <row r="913" spans="1:12" x14ac:dyDescent="0.35">
      <c r="A913" s="1">
        <v>42680.451388888891</v>
      </c>
      <c r="B913" s="1">
        <v>42680.461111111108</v>
      </c>
      <c r="C913" t="s">
        <v>7</v>
      </c>
      <c r="D913" t="s">
        <v>205</v>
      </c>
      <c r="E913" t="s">
        <v>207</v>
      </c>
      <c r="F913">
        <v>2.4</v>
      </c>
      <c r="J913">
        <f>HOUR(Table1[[#This Row],[START_DATE]])</f>
        <v>10</v>
      </c>
      <c r="K913" s="2">
        <f t="shared" si="28"/>
        <v>42680</v>
      </c>
      <c r="L913" t="str">
        <f t="shared" si="29"/>
        <v>Sunday</v>
      </c>
    </row>
    <row r="914" spans="1:12" x14ac:dyDescent="0.35">
      <c r="A914" s="1">
        <v>42680.670138888891</v>
      </c>
      <c r="B914" s="1">
        <v>42680.681944444441</v>
      </c>
      <c r="C914" t="s">
        <v>7</v>
      </c>
      <c r="D914" t="s">
        <v>207</v>
      </c>
      <c r="E914" t="s">
        <v>205</v>
      </c>
      <c r="F914">
        <v>2.8</v>
      </c>
      <c r="G914" t="s">
        <v>11</v>
      </c>
      <c r="J914">
        <f>HOUR(Table1[[#This Row],[START_DATE]])</f>
        <v>16</v>
      </c>
      <c r="K914" s="2">
        <f t="shared" si="28"/>
        <v>42680</v>
      </c>
      <c r="L914" t="str">
        <f t="shared" si="29"/>
        <v>Sunday</v>
      </c>
    </row>
    <row r="915" spans="1:12" x14ac:dyDescent="0.35">
      <c r="A915" s="1">
        <v>42680.685416666667</v>
      </c>
      <c r="B915" s="1">
        <v>42680.727777777778</v>
      </c>
      <c r="C915" t="s">
        <v>7</v>
      </c>
      <c r="D915" t="s">
        <v>204</v>
      </c>
      <c r="E915" t="s">
        <v>147</v>
      </c>
      <c r="F915">
        <v>43.9</v>
      </c>
      <c r="G915" t="s">
        <v>13</v>
      </c>
      <c r="J915">
        <f>HOUR(Table1[[#This Row],[START_DATE]])</f>
        <v>16</v>
      </c>
      <c r="K915" s="2">
        <f t="shared" si="28"/>
        <v>42680</v>
      </c>
      <c r="L915" t="str">
        <f t="shared" si="29"/>
        <v>Sunday</v>
      </c>
    </row>
    <row r="916" spans="1:12" x14ac:dyDescent="0.35">
      <c r="A916" s="1">
        <v>42680.794444444444</v>
      </c>
      <c r="B916" s="1">
        <v>42680.800000000003</v>
      </c>
      <c r="C916" t="s">
        <v>7</v>
      </c>
      <c r="D916" t="s">
        <v>31</v>
      </c>
      <c r="E916" t="s">
        <v>192</v>
      </c>
      <c r="F916">
        <v>1.8</v>
      </c>
      <c r="J916">
        <f>HOUR(Table1[[#This Row],[START_DATE]])</f>
        <v>19</v>
      </c>
      <c r="K916" s="2">
        <f t="shared" si="28"/>
        <v>42680</v>
      </c>
      <c r="L916" t="str">
        <f t="shared" si="29"/>
        <v>Sunday</v>
      </c>
    </row>
    <row r="917" spans="1:12" x14ac:dyDescent="0.35">
      <c r="A917" s="1">
        <v>42680.837500000001</v>
      </c>
      <c r="B917" s="1">
        <v>42680.847916666666</v>
      </c>
      <c r="C917" t="s">
        <v>7</v>
      </c>
      <c r="D917" t="s">
        <v>192</v>
      </c>
      <c r="E917" t="s">
        <v>208</v>
      </c>
      <c r="F917">
        <v>3.3</v>
      </c>
      <c r="J917">
        <f>HOUR(Table1[[#This Row],[START_DATE]])</f>
        <v>20</v>
      </c>
      <c r="K917" s="2">
        <f t="shared" si="28"/>
        <v>42680</v>
      </c>
      <c r="L917" t="str">
        <f t="shared" si="29"/>
        <v>Sunday</v>
      </c>
    </row>
    <row r="918" spans="1:12" x14ac:dyDescent="0.35">
      <c r="A918" s="1">
        <v>42681.519444444442</v>
      </c>
      <c r="B918" s="1">
        <v>42681.539583333331</v>
      </c>
      <c r="C918" t="s">
        <v>7</v>
      </c>
      <c r="D918" t="s">
        <v>147</v>
      </c>
      <c r="E918" t="s">
        <v>123</v>
      </c>
      <c r="F918">
        <v>11.8</v>
      </c>
      <c r="G918" t="s">
        <v>53</v>
      </c>
      <c r="J918">
        <f>HOUR(Table1[[#This Row],[START_DATE]])</f>
        <v>12</v>
      </c>
      <c r="K918" s="2">
        <f t="shared" si="28"/>
        <v>42681</v>
      </c>
      <c r="L918" t="str">
        <f t="shared" si="29"/>
        <v>Monday</v>
      </c>
    </row>
    <row r="919" spans="1:12" x14ac:dyDescent="0.35">
      <c r="A919" s="1">
        <v>42681.803472222222</v>
      </c>
      <c r="B919" s="1">
        <v>42681.831250000003</v>
      </c>
      <c r="C919" t="s">
        <v>7</v>
      </c>
      <c r="D919" t="s">
        <v>123</v>
      </c>
      <c r="E919" t="s">
        <v>147</v>
      </c>
      <c r="F919">
        <v>13.2</v>
      </c>
      <c r="G919" t="s">
        <v>53</v>
      </c>
      <c r="J919">
        <f>HOUR(Table1[[#This Row],[START_DATE]])</f>
        <v>19</v>
      </c>
      <c r="K919" s="2">
        <f t="shared" si="28"/>
        <v>42681</v>
      </c>
      <c r="L919" t="str">
        <f t="shared" si="29"/>
        <v>Monday</v>
      </c>
    </row>
    <row r="920" spans="1:12" x14ac:dyDescent="0.35">
      <c r="A920" s="1">
        <v>42682.436805555553</v>
      </c>
      <c r="B920" s="1">
        <v>42682.456250000003</v>
      </c>
      <c r="C920" t="s">
        <v>7</v>
      </c>
      <c r="D920" t="s">
        <v>147</v>
      </c>
      <c r="E920" t="s">
        <v>123</v>
      </c>
      <c r="F920">
        <v>12.2</v>
      </c>
      <c r="G920" t="s">
        <v>53</v>
      </c>
      <c r="J920">
        <f>HOUR(Table1[[#This Row],[START_DATE]])</f>
        <v>10</v>
      </c>
      <c r="K920" s="2">
        <f t="shared" si="28"/>
        <v>42682</v>
      </c>
      <c r="L920" t="str">
        <f t="shared" si="29"/>
        <v>Tuesday</v>
      </c>
    </row>
    <row r="921" spans="1:12" x14ac:dyDescent="0.35">
      <c r="A921" s="1">
        <v>42682.511111111111</v>
      </c>
      <c r="B921" s="1">
        <v>42682.53402777778</v>
      </c>
      <c r="C921" t="s">
        <v>7</v>
      </c>
      <c r="D921" t="s">
        <v>123</v>
      </c>
      <c r="E921" t="s">
        <v>147</v>
      </c>
      <c r="F921">
        <v>11.3</v>
      </c>
      <c r="G921" t="s">
        <v>11</v>
      </c>
      <c r="J921">
        <f>HOUR(Table1[[#This Row],[START_DATE]])</f>
        <v>12</v>
      </c>
      <c r="K921" s="2">
        <f t="shared" si="28"/>
        <v>42682</v>
      </c>
      <c r="L921" t="str">
        <f t="shared" si="29"/>
        <v>Tuesday</v>
      </c>
    </row>
    <row r="922" spans="1:12" x14ac:dyDescent="0.35">
      <c r="A922" s="1">
        <v>42682.570138888892</v>
      </c>
      <c r="B922" s="1">
        <v>42682.584027777775</v>
      </c>
      <c r="C922" t="s">
        <v>7</v>
      </c>
      <c r="D922" t="s">
        <v>147</v>
      </c>
      <c r="E922" t="s">
        <v>146</v>
      </c>
      <c r="F922">
        <v>3.6</v>
      </c>
      <c r="J922">
        <f>HOUR(Table1[[#This Row],[START_DATE]])</f>
        <v>13</v>
      </c>
      <c r="K922" s="2">
        <f t="shared" si="28"/>
        <v>42682</v>
      </c>
      <c r="L922" t="str">
        <f t="shared" si="29"/>
        <v>Tuesday</v>
      </c>
    </row>
    <row r="923" spans="1:12" x14ac:dyDescent="0.35">
      <c r="A923" s="1">
        <v>42682.681250000001</v>
      </c>
      <c r="B923" s="1">
        <v>42682.69027777778</v>
      </c>
      <c r="C923" t="s">
        <v>7</v>
      </c>
      <c r="D923" t="s">
        <v>146</v>
      </c>
      <c r="E923" t="s">
        <v>147</v>
      </c>
      <c r="F923">
        <v>3</v>
      </c>
      <c r="J923">
        <f>HOUR(Table1[[#This Row],[START_DATE]])</f>
        <v>16</v>
      </c>
      <c r="K923" s="2">
        <f t="shared" si="28"/>
        <v>42682</v>
      </c>
      <c r="L923" t="str">
        <f t="shared" si="29"/>
        <v>Tuesday</v>
      </c>
    </row>
    <row r="924" spans="1:12" x14ac:dyDescent="0.35">
      <c r="A924" s="1">
        <v>42683.547222222223</v>
      </c>
      <c r="B924" s="1">
        <v>42683.570138888892</v>
      </c>
      <c r="C924" t="s">
        <v>7</v>
      </c>
      <c r="D924" t="s">
        <v>147</v>
      </c>
      <c r="E924" t="s">
        <v>123</v>
      </c>
      <c r="F924">
        <v>11.4</v>
      </c>
      <c r="J924">
        <f>HOUR(Table1[[#This Row],[START_DATE]])</f>
        <v>13</v>
      </c>
      <c r="K924" s="2">
        <f t="shared" si="28"/>
        <v>42683</v>
      </c>
      <c r="L924" t="str">
        <f t="shared" si="29"/>
        <v>Wednesday</v>
      </c>
    </row>
    <row r="925" spans="1:12" x14ac:dyDescent="0.35">
      <c r="A925" s="1">
        <v>42683.665277777778</v>
      </c>
      <c r="B925" s="1">
        <v>42683.669444444444</v>
      </c>
      <c r="C925" t="s">
        <v>7</v>
      </c>
      <c r="D925" t="s">
        <v>209</v>
      </c>
      <c r="E925" t="s">
        <v>31</v>
      </c>
      <c r="F925">
        <v>0.9</v>
      </c>
      <c r="J925">
        <f>HOUR(Table1[[#This Row],[START_DATE]])</f>
        <v>15</v>
      </c>
      <c r="K925" s="2">
        <f t="shared" si="28"/>
        <v>42683</v>
      </c>
      <c r="L925" t="str">
        <f t="shared" si="29"/>
        <v>Wednesday</v>
      </c>
    </row>
    <row r="926" spans="1:12" x14ac:dyDescent="0.35">
      <c r="A926" s="1">
        <v>42683.729861111111</v>
      </c>
      <c r="B926" s="1">
        <v>42683.752083333333</v>
      </c>
      <c r="C926" t="s">
        <v>7</v>
      </c>
      <c r="D926" t="s">
        <v>31</v>
      </c>
      <c r="E926" t="s">
        <v>210</v>
      </c>
      <c r="F926">
        <v>6.2</v>
      </c>
      <c r="J926">
        <f>HOUR(Table1[[#This Row],[START_DATE]])</f>
        <v>17</v>
      </c>
      <c r="K926" s="2">
        <f t="shared" si="28"/>
        <v>42683</v>
      </c>
      <c r="L926" t="str">
        <f t="shared" si="29"/>
        <v>Wednesday</v>
      </c>
    </row>
    <row r="927" spans="1:12" x14ac:dyDescent="0.35">
      <c r="A927" s="1">
        <v>42683.756249999999</v>
      </c>
      <c r="B927" s="1">
        <v>42683.759722222225</v>
      </c>
      <c r="C927" t="s">
        <v>7</v>
      </c>
      <c r="D927" t="s">
        <v>210</v>
      </c>
      <c r="E927" t="s">
        <v>211</v>
      </c>
      <c r="F927">
        <v>0.7</v>
      </c>
      <c r="J927">
        <f>HOUR(Table1[[#This Row],[START_DATE]])</f>
        <v>18</v>
      </c>
      <c r="K927" s="2">
        <f t="shared" si="28"/>
        <v>42683</v>
      </c>
      <c r="L927" t="str">
        <f t="shared" si="29"/>
        <v>Wednesday</v>
      </c>
    </row>
    <row r="928" spans="1:12" x14ac:dyDescent="0.35">
      <c r="A928" s="1">
        <v>42683.76458333333</v>
      </c>
      <c r="B928" s="1">
        <v>42683.774305555555</v>
      </c>
      <c r="C928" t="s">
        <v>7</v>
      </c>
      <c r="D928" t="s">
        <v>211</v>
      </c>
      <c r="E928" t="s">
        <v>212</v>
      </c>
      <c r="F928">
        <v>5.5</v>
      </c>
      <c r="G928" t="s">
        <v>11</v>
      </c>
      <c r="J928">
        <f>HOUR(Table1[[#This Row],[START_DATE]])</f>
        <v>18</v>
      </c>
      <c r="K928" s="2">
        <f t="shared" si="28"/>
        <v>42683</v>
      </c>
      <c r="L928" t="str">
        <f t="shared" si="29"/>
        <v>Wednesday</v>
      </c>
    </row>
    <row r="929" spans="1:12" x14ac:dyDescent="0.35">
      <c r="A929" s="1">
        <v>42683.777777777781</v>
      </c>
      <c r="B929" s="1">
        <v>42683.803472222222</v>
      </c>
      <c r="C929" t="s">
        <v>7</v>
      </c>
      <c r="D929" t="s">
        <v>123</v>
      </c>
      <c r="E929" t="s">
        <v>145</v>
      </c>
      <c r="F929">
        <v>12.7</v>
      </c>
      <c r="G929" t="s">
        <v>13</v>
      </c>
      <c r="J929">
        <f>HOUR(Table1[[#This Row],[START_DATE]])</f>
        <v>18</v>
      </c>
      <c r="K929" s="2">
        <f t="shared" si="28"/>
        <v>42683</v>
      </c>
      <c r="L929" t="str">
        <f t="shared" si="29"/>
        <v>Wednesday</v>
      </c>
    </row>
    <row r="930" spans="1:12" x14ac:dyDescent="0.35">
      <c r="A930" s="1">
        <v>42683.869444444441</v>
      </c>
      <c r="B930" s="1">
        <v>42683.876388888886</v>
      </c>
      <c r="C930" t="s">
        <v>7</v>
      </c>
      <c r="D930" t="s">
        <v>145</v>
      </c>
      <c r="E930" t="s">
        <v>147</v>
      </c>
      <c r="F930">
        <v>2.6</v>
      </c>
      <c r="J930">
        <f>HOUR(Table1[[#This Row],[START_DATE]])</f>
        <v>20</v>
      </c>
      <c r="K930" s="2">
        <f t="shared" si="28"/>
        <v>42683</v>
      </c>
      <c r="L930" t="str">
        <f t="shared" si="29"/>
        <v>Wednesday</v>
      </c>
    </row>
    <row r="931" spans="1:12" x14ac:dyDescent="0.35">
      <c r="A931" s="1">
        <v>42683.913888888892</v>
      </c>
      <c r="B931" s="1">
        <v>42683.918055555558</v>
      </c>
      <c r="C931" t="s">
        <v>7</v>
      </c>
      <c r="D931" t="s">
        <v>208</v>
      </c>
      <c r="E931" t="s">
        <v>208</v>
      </c>
      <c r="F931">
        <v>1.1000000000000001</v>
      </c>
      <c r="J931">
        <f>HOUR(Table1[[#This Row],[START_DATE]])</f>
        <v>21</v>
      </c>
      <c r="K931" s="2">
        <f t="shared" si="28"/>
        <v>42683</v>
      </c>
      <c r="L931" t="str">
        <f t="shared" si="29"/>
        <v>Wednesday</v>
      </c>
    </row>
    <row r="932" spans="1:12" x14ac:dyDescent="0.35">
      <c r="A932" s="1">
        <v>42684.406944444447</v>
      </c>
      <c r="B932" s="1">
        <v>42684.427083333336</v>
      </c>
      <c r="C932" t="s">
        <v>7</v>
      </c>
      <c r="D932" t="s">
        <v>147</v>
      </c>
      <c r="E932" t="s">
        <v>123</v>
      </c>
      <c r="F932">
        <v>12.6</v>
      </c>
      <c r="G932" t="s">
        <v>24</v>
      </c>
      <c r="J932">
        <f>HOUR(Table1[[#This Row],[START_DATE]])</f>
        <v>9</v>
      </c>
      <c r="K932" s="2">
        <f t="shared" si="28"/>
        <v>42684</v>
      </c>
      <c r="L932" t="str">
        <f t="shared" si="29"/>
        <v>Thursday</v>
      </c>
    </row>
    <row r="933" spans="1:12" x14ac:dyDescent="0.35">
      <c r="A933" s="1">
        <v>42684.430555555555</v>
      </c>
      <c r="B933" s="1">
        <v>42684.438194444447</v>
      </c>
      <c r="C933" t="s">
        <v>7</v>
      </c>
      <c r="D933" t="s">
        <v>213</v>
      </c>
      <c r="E933" t="s">
        <v>190</v>
      </c>
      <c r="F933">
        <v>1.2</v>
      </c>
      <c r="J933">
        <f>HOUR(Table1[[#This Row],[START_DATE]])</f>
        <v>10</v>
      </c>
      <c r="K933" s="2">
        <f t="shared" si="28"/>
        <v>42684</v>
      </c>
      <c r="L933" t="str">
        <f t="shared" si="29"/>
        <v>Thursday</v>
      </c>
    </row>
    <row r="934" spans="1:12" x14ac:dyDescent="0.35">
      <c r="A934" s="1">
        <v>42684.622916666667</v>
      </c>
      <c r="B934" s="1">
        <v>42684.629861111112</v>
      </c>
      <c r="C934" t="s">
        <v>7</v>
      </c>
      <c r="D934" t="s">
        <v>190</v>
      </c>
      <c r="E934" t="s">
        <v>213</v>
      </c>
      <c r="F934">
        <v>1.1000000000000001</v>
      </c>
      <c r="J934">
        <f>HOUR(Table1[[#This Row],[START_DATE]])</f>
        <v>14</v>
      </c>
      <c r="K934" s="2">
        <f t="shared" si="28"/>
        <v>42684</v>
      </c>
      <c r="L934" t="str">
        <f t="shared" si="29"/>
        <v>Thursday</v>
      </c>
    </row>
    <row r="935" spans="1:12" x14ac:dyDescent="0.35">
      <c r="A935" s="1">
        <v>42684.636805555558</v>
      </c>
      <c r="B935" s="1">
        <v>42684.640277777777</v>
      </c>
      <c r="C935" t="s">
        <v>7</v>
      </c>
      <c r="D935" t="s">
        <v>123</v>
      </c>
      <c r="E935" t="s">
        <v>145</v>
      </c>
      <c r="F935">
        <v>9.9</v>
      </c>
      <c r="G935" t="s">
        <v>24</v>
      </c>
      <c r="J935">
        <f>HOUR(Table1[[#This Row],[START_DATE]])</f>
        <v>15</v>
      </c>
      <c r="K935" s="2">
        <f t="shared" si="28"/>
        <v>42684</v>
      </c>
      <c r="L935" t="str">
        <f t="shared" si="29"/>
        <v>Thursday</v>
      </c>
    </row>
    <row r="936" spans="1:12" x14ac:dyDescent="0.35">
      <c r="A936" s="1">
        <v>42684.645833333336</v>
      </c>
      <c r="B936" s="1">
        <v>42684.661805555559</v>
      </c>
      <c r="C936" t="s">
        <v>7</v>
      </c>
      <c r="D936" t="s">
        <v>145</v>
      </c>
      <c r="E936" t="s">
        <v>147</v>
      </c>
      <c r="F936">
        <v>6</v>
      </c>
      <c r="G936" t="s">
        <v>11</v>
      </c>
      <c r="J936">
        <f>HOUR(Table1[[#This Row],[START_DATE]])</f>
        <v>15</v>
      </c>
      <c r="K936" s="2">
        <f t="shared" si="28"/>
        <v>42684</v>
      </c>
      <c r="L936" t="str">
        <f t="shared" si="29"/>
        <v>Thursday</v>
      </c>
    </row>
    <row r="937" spans="1:12" x14ac:dyDescent="0.35">
      <c r="A937" s="1">
        <v>42684.804166666669</v>
      </c>
      <c r="B937" s="1">
        <v>42684.806250000001</v>
      </c>
      <c r="C937" t="s">
        <v>7</v>
      </c>
      <c r="D937" t="s">
        <v>192</v>
      </c>
      <c r="E937" t="s">
        <v>208</v>
      </c>
      <c r="F937">
        <v>0.8</v>
      </c>
      <c r="J937">
        <f>HOUR(Table1[[#This Row],[START_DATE]])</f>
        <v>19</v>
      </c>
      <c r="K937" s="2">
        <f t="shared" si="28"/>
        <v>42684</v>
      </c>
      <c r="L937" t="str">
        <f t="shared" si="29"/>
        <v>Thursday</v>
      </c>
    </row>
    <row r="938" spans="1:12" x14ac:dyDescent="0.35">
      <c r="A938" s="1">
        <v>42685.399305555555</v>
      </c>
      <c r="B938" s="1">
        <v>42685.432638888888</v>
      </c>
      <c r="C938" t="s">
        <v>7</v>
      </c>
      <c r="D938" t="s">
        <v>147</v>
      </c>
      <c r="E938" t="s">
        <v>127</v>
      </c>
      <c r="F938">
        <v>45.9</v>
      </c>
      <c r="G938" t="s">
        <v>13</v>
      </c>
      <c r="J938">
        <f>HOUR(Table1[[#This Row],[START_DATE]])</f>
        <v>9</v>
      </c>
      <c r="K938" s="2">
        <f t="shared" si="28"/>
        <v>42685</v>
      </c>
      <c r="L938" t="str">
        <f t="shared" si="29"/>
        <v>Friday</v>
      </c>
    </row>
    <row r="939" spans="1:12" x14ac:dyDescent="0.35">
      <c r="A939" s="1">
        <v>42685.540277777778</v>
      </c>
      <c r="B939" s="1">
        <v>42685.550694444442</v>
      </c>
      <c r="C939" t="s">
        <v>7</v>
      </c>
      <c r="D939" t="s">
        <v>127</v>
      </c>
      <c r="E939" t="s">
        <v>124</v>
      </c>
      <c r="F939">
        <v>4</v>
      </c>
      <c r="J939">
        <f>HOUR(Table1[[#This Row],[START_DATE]])</f>
        <v>12</v>
      </c>
      <c r="K939" s="2">
        <f t="shared" si="28"/>
        <v>42685</v>
      </c>
      <c r="L939" t="str">
        <f t="shared" si="29"/>
        <v>Friday</v>
      </c>
    </row>
    <row r="940" spans="1:12" x14ac:dyDescent="0.35">
      <c r="A940" s="1">
        <v>42685.597222222219</v>
      </c>
      <c r="B940" s="1">
        <v>42685.605555555558</v>
      </c>
      <c r="C940" t="s">
        <v>7</v>
      </c>
      <c r="D940" t="s">
        <v>124</v>
      </c>
      <c r="E940" t="s">
        <v>127</v>
      </c>
      <c r="F940">
        <v>2.5</v>
      </c>
      <c r="J940">
        <f>HOUR(Table1[[#This Row],[START_DATE]])</f>
        <v>14</v>
      </c>
      <c r="K940" s="2">
        <f t="shared" si="28"/>
        <v>42685</v>
      </c>
      <c r="L940" t="str">
        <f t="shared" si="29"/>
        <v>Friday</v>
      </c>
    </row>
    <row r="941" spans="1:12" x14ac:dyDescent="0.35">
      <c r="A941" s="1">
        <v>42685.61041666667</v>
      </c>
      <c r="B941" s="1">
        <v>42685.656944444447</v>
      </c>
      <c r="C941" t="s">
        <v>7</v>
      </c>
      <c r="D941" t="s">
        <v>127</v>
      </c>
      <c r="E941" t="s">
        <v>147</v>
      </c>
      <c r="F941">
        <v>36.6</v>
      </c>
      <c r="G941" t="s">
        <v>13</v>
      </c>
      <c r="J941">
        <f>HOUR(Table1[[#This Row],[START_DATE]])</f>
        <v>14</v>
      </c>
      <c r="K941" s="2">
        <f t="shared" si="28"/>
        <v>42685</v>
      </c>
      <c r="L941" t="str">
        <f t="shared" si="29"/>
        <v>Friday</v>
      </c>
    </row>
    <row r="942" spans="1:12" x14ac:dyDescent="0.35">
      <c r="A942" s="1">
        <v>42685.770833333336</v>
      </c>
      <c r="B942" s="1">
        <v>42685.779861111114</v>
      </c>
      <c r="C942" t="s">
        <v>7</v>
      </c>
      <c r="D942" t="s">
        <v>208</v>
      </c>
      <c r="E942" t="s">
        <v>214</v>
      </c>
      <c r="F942">
        <v>2.9</v>
      </c>
      <c r="J942">
        <f>HOUR(Table1[[#This Row],[START_DATE]])</f>
        <v>18</v>
      </c>
      <c r="K942" s="2">
        <f t="shared" si="28"/>
        <v>42685</v>
      </c>
      <c r="L942" t="str">
        <f t="shared" si="29"/>
        <v>Friday</v>
      </c>
    </row>
    <row r="943" spans="1:12" x14ac:dyDescent="0.35">
      <c r="A943" s="1">
        <v>42685.880555555559</v>
      </c>
      <c r="B943" s="1">
        <v>42685.887499999997</v>
      </c>
      <c r="C943" t="s">
        <v>7</v>
      </c>
      <c r="D943" t="s">
        <v>214</v>
      </c>
      <c r="E943" t="s">
        <v>208</v>
      </c>
      <c r="F943">
        <v>2.6</v>
      </c>
      <c r="J943">
        <f>HOUR(Table1[[#This Row],[START_DATE]])</f>
        <v>21</v>
      </c>
      <c r="K943" s="2">
        <f t="shared" si="28"/>
        <v>42685</v>
      </c>
      <c r="L943" t="str">
        <f t="shared" si="29"/>
        <v>Friday</v>
      </c>
    </row>
    <row r="944" spans="1:12" x14ac:dyDescent="0.35">
      <c r="A944" s="1">
        <v>42686.438888888886</v>
      </c>
      <c r="B944" s="1">
        <v>42686.452777777777</v>
      </c>
      <c r="C944" t="s">
        <v>7</v>
      </c>
      <c r="D944" t="s">
        <v>208</v>
      </c>
      <c r="E944" t="s">
        <v>215</v>
      </c>
      <c r="F944">
        <v>2.2999999999999998</v>
      </c>
      <c r="J944">
        <f>HOUR(Table1[[#This Row],[START_DATE]])</f>
        <v>10</v>
      </c>
      <c r="K944" s="2">
        <f t="shared" si="28"/>
        <v>42686</v>
      </c>
      <c r="L944" t="str">
        <f t="shared" si="29"/>
        <v>Saturday</v>
      </c>
    </row>
    <row r="945" spans="1:12" x14ac:dyDescent="0.35">
      <c r="A945" s="1">
        <v>42686.454861111109</v>
      </c>
      <c r="B945" s="1">
        <v>42686.475694444445</v>
      </c>
      <c r="C945" t="s">
        <v>7</v>
      </c>
      <c r="D945" t="s">
        <v>215</v>
      </c>
      <c r="E945" t="s">
        <v>31</v>
      </c>
      <c r="F945">
        <v>6.4</v>
      </c>
      <c r="J945">
        <f>HOUR(Table1[[#This Row],[START_DATE]])</f>
        <v>10</v>
      </c>
      <c r="K945" s="2">
        <f t="shared" si="28"/>
        <v>42686</v>
      </c>
      <c r="L945" t="str">
        <f t="shared" si="29"/>
        <v>Saturday</v>
      </c>
    </row>
    <row r="946" spans="1:12" x14ac:dyDescent="0.35">
      <c r="A946" s="1">
        <v>42686.546527777777</v>
      </c>
      <c r="B946" s="1">
        <v>42686.552083333336</v>
      </c>
      <c r="C946" t="s">
        <v>7</v>
      </c>
      <c r="D946" t="s">
        <v>31</v>
      </c>
      <c r="E946" t="s">
        <v>208</v>
      </c>
      <c r="F946">
        <v>1.4</v>
      </c>
      <c r="J946">
        <f>HOUR(Table1[[#This Row],[START_DATE]])</f>
        <v>13</v>
      </c>
      <c r="K946" s="2">
        <f t="shared" si="28"/>
        <v>42686</v>
      </c>
      <c r="L946" t="str">
        <f t="shared" si="29"/>
        <v>Saturday</v>
      </c>
    </row>
    <row r="947" spans="1:12" x14ac:dyDescent="0.35">
      <c r="A947" s="1">
        <v>42686.573611111111</v>
      </c>
      <c r="B947" s="1">
        <v>42686.576388888891</v>
      </c>
      <c r="C947" t="s">
        <v>7</v>
      </c>
      <c r="D947" t="s">
        <v>208</v>
      </c>
      <c r="E947" t="s">
        <v>192</v>
      </c>
      <c r="F947">
        <v>0.6</v>
      </c>
      <c r="J947">
        <f>HOUR(Table1[[#This Row],[START_DATE]])</f>
        <v>13</v>
      </c>
      <c r="K947" s="2">
        <f t="shared" si="28"/>
        <v>42686</v>
      </c>
      <c r="L947" t="str">
        <f t="shared" si="29"/>
        <v>Saturday</v>
      </c>
    </row>
    <row r="948" spans="1:12" x14ac:dyDescent="0.35">
      <c r="A948" s="1">
        <v>42686.598611111112</v>
      </c>
      <c r="B948" s="1">
        <v>42686.620138888888</v>
      </c>
      <c r="C948" t="s">
        <v>7</v>
      </c>
      <c r="D948" t="s">
        <v>192</v>
      </c>
      <c r="E948" t="s">
        <v>215</v>
      </c>
      <c r="F948">
        <v>5.9</v>
      </c>
      <c r="G948" t="s">
        <v>11</v>
      </c>
      <c r="J948">
        <f>HOUR(Table1[[#This Row],[START_DATE]])</f>
        <v>14</v>
      </c>
      <c r="K948" s="2">
        <f t="shared" si="28"/>
        <v>42686</v>
      </c>
      <c r="L948" t="str">
        <f t="shared" si="29"/>
        <v>Saturday</v>
      </c>
    </row>
    <row r="949" spans="1:12" x14ac:dyDescent="0.35">
      <c r="A949" s="1">
        <v>42686.634722222225</v>
      </c>
      <c r="B949" s="1">
        <v>42686.63958333333</v>
      </c>
      <c r="C949" t="s">
        <v>7</v>
      </c>
      <c r="D949" t="s">
        <v>215</v>
      </c>
      <c r="E949" t="s">
        <v>216</v>
      </c>
      <c r="F949">
        <v>0.8</v>
      </c>
      <c r="J949">
        <f>HOUR(Table1[[#This Row],[START_DATE]])</f>
        <v>15</v>
      </c>
      <c r="K949" s="2">
        <f t="shared" si="28"/>
        <v>42686</v>
      </c>
      <c r="L949" t="str">
        <f t="shared" si="29"/>
        <v>Saturday</v>
      </c>
    </row>
    <row r="950" spans="1:12" x14ac:dyDescent="0.35">
      <c r="A950" s="1">
        <v>42686.642361111109</v>
      </c>
      <c r="B950" s="1">
        <v>42686.65</v>
      </c>
      <c r="C950" t="s">
        <v>7</v>
      </c>
      <c r="D950" t="s">
        <v>147</v>
      </c>
      <c r="E950" t="s">
        <v>146</v>
      </c>
      <c r="F950">
        <v>1.3</v>
      </c>
      <c r="J950">
        <f>HOUR(Table1[[#This Row],[START_DATE]])</f>
        <v>15</v>
      </c>
      <c r="K950" s="2">
        <f t="shared" si="28"/>
        <v>42686</v>
      </c>
      <c r="L950" t="str">
        <f t="shared" si="29"/>
        <v>Saturday</v>
      </c>
    </row>
    <row r="951" spans="1:12" x14ac:dyDescent="0.35">
      <c r="A951" s="1">
        <v>42686.652777777781</v>
      </c>
      <c r="B951" s="1">
        <v>42686.665972222225</v>
      </c>
      <c r="C951" t="s">
        <v>7</v>
      </c>
      <c r="D951" t="s">
        <v>146</v>
      </c>
      <c r="E951" t="s">
        <v>147</v>
      </c>
      <c r="F951">
        <v>3.7</v>
      </c>
      <c r="G951" t="s">
        <v>10</v>
      </c>
      <c r="J951">
        <f>HOUR(Table1[[#This Row],[START_DATE]])</f>
        <v>15</v>
      </c>
      <c r="K951" s="2">
        <f t="shared" si="28"/>
        <v>42686</v>
      </c>
      <c r="L951" t="str">
        <f t="shared" si="29"/>
        <v>Saturday</v>
      </c>
    </row>
    <row r="952" spans="1:12" x14ac:dyDescent="0.35">
      <c r="A952" s="1">
        <v>42687.370833333334</v>
      </c>
      <c r="B952" s="1">
        <v>42687.376388888886</v>
      </c>
      <c r="C952" t="s">
        <v>7</v>
      </c>
      <c r="D952" t="s">
        <v>208</v>
      </c>
      <c r="E952" t="s">
        <v>208</v>
      </c>
      <c r="F952">
        <v>2.2999999999999998</v>
      </c>
      <c r="J952">
        <f>HOUR(Table1[[#This Row],[START_DATE]])</f>
        <v>8</v>
      </c>
      <c r="K952" s="2">
        <f t="shared" si="28"/>
        <v>42687</v>
      </c>
      <c r="L952" t="str">
        <f t="shared" si="29"/>
        <v>Sunday</v>
      </c>
    </row>
    <row r="953" spans="1:12" x14ac:dyDescent="0.35">
      <c r="A953" s="1">
        <v>42687.393750000003</v>
      </c>
      <c r="B953" s="1">
        <v>42687.411805555559</v>
      </c>
      <c r="C953" t="s">
        <v>7</v>
      </c>
      <c r="D953" t="s">
        <v>208</v>
      </c>
      <c r="E953" t="s">
        <v>208</v>
      </c>
      <c r="F953">
        <v>2.6</v>
      </c>
      <c r="J953">
        <f>HOUR(Table1[[#This Row],[START_DATE]])</f>
        <v>9</v>
      </c>
      <c r="K953" s="2">
        <f t="shared" si="28"/>
        <v>42687</v>
      </c>
      <c r="L953" t="str">
        <f t="shared" si="29"/>
        <v>Sunday</v>
      </c>
    </row>
    <row r="954" spans="1:12" x14ac:dyDescent="0.35">
      <c r="A954" s="1">
        <v>42687.438194444447</v>
      </c>
      <c r="B954" s="1">
        <v>42687.442361111112</v>
      </c>
      <c r="C954" t="s">
        <v>7</v>
      </c>
      <c r="D954" t="s">
        <v>208</v>
      </c>
      <c r="E954" t="s">
        <v>194</v>
      </c>
      <c r="F954">
        <v>1.9</v>
      </c>
      <c r="J954">
        <f>HOUR(Table1[[#This Row],[START_DATE]])</f>
        <v>10</v>
      </c>
      <c r="K954" s="2">
        <f t="shared" si="28"/>
        <v>42687</v>
      </c>
      <c r="L954" t="str">
        <f t="shared" si="29"/>
        <v>Sunday</v>
      </c>
    </row>
    <row r="955" spans="1:12" x14ac:dyDescent="0.35">
      <c r="A955" s="1">
        <v>42687.461111111108</v>
      </c>
      <c r="B955" s="1">
        <v>42687.469444444447</v>
      </c>
      <c r="C955" t="s">
        <v>7</v>
      </c>
      <c r="D955" t="s">
        <v>194</v>
      </c>
      <c r="E955" t="s">
        <v>192</v>
      </c>
      <c r="F955">
        <v>2.1</v>
      </c>
      <c r="J955">
        <f>HOUR(Table1[[#This Row],[START_DATE]])</f>
        <v>11</v>
      </c>
      <c r="K955" s="2">
        <f t="shared" si="28"/>
        <v>42687</v>
      </c>
      <c r="L955" t="str">
        <f t="shared" si="29"/>
        <v>Sunday</v>
      </c>
    </row>
    <row r="956" spans="1:12" x14ac:dyDescent="0.35">
      <c r="A956" s="1">
        <v>42687.515277777777</v>
      </c>
      <c r="B956" s="1">
        <v>42687.535416666666</v>
      </c>
      <c r="C956" t="s">
        <v>7</v>
      </c>
      <c r="D956" t="s">
        <v>192</v>
      </c>
      <c r="E956" t="s">
        <v>194</v>
      </c>
      <c r="F956">
        <v>4</v>
      </c>
      <c r="G956" t="s">
        <v>11</v>
      </c>
      <c r="J956">
        <f>HOUR(Table1[[#This Row],[START_DATE]])</f>
        <v>12</v>
      </c>
      <c r="K956" s="2">
        <f t="shared" si="28"/>
        <v>42687</v>
      </c>
      <c r="L956" t="str">
        <f t="shared" si="29"/>
        <v>Sunday</v>
      </c>
    </row>
    <row r="957" spans="1:12" x14ac:dyDescent="0.35">
      <c r="A957" s="1">
        <v>42687.545138888891</v>
      </c>
      <c r="B957" s="1">
        <v>42687.549305555556</v>
      </c>
      <c r="C957" t="s">
        <v>7</v>
      </c>
      <c r="D957" t="s">
        <v>194</v>
      </c>
      <c r="E957" t="s">
        <v>217</v>
      </c>
      <c r="F957">
        <v>0.9</v>
      </c>
      <c r="J957">
        <f>HOUR(Table1[[#This Row],[START_DATE]])</f>
        <v>13</v>
      </c>
      <c r="K957" s="2">
        <f t="shared" si="28"/>
        <v>42687</v>
      </c>
      <c r="L957" t="str">
        <f t="shared" si="29"/>
        <v>Sunday</v>
      </c>
    </row>
    <row r="958" spans="1:12" x14ac:dyDescent="0.35">
      <c r="A958" s="1">
        <v>42687.551388888889</v>
      </c>
      <c r="B958" s="1">
        <v>42687.554166666669</v>
      </c>
      <c r="C958" t="s">
        <v>7</v>
      </c>
      <c r="D958" t="s">
        <v>217</v>
      </c>
      <c r="E958" t="s">
        <v>194</v>
      </c>
      <c r="F958">
        <v>0.9</v>
      </c>
      <c r="J958">
        <f>HOUR(Table1[[#This Row],[START_DATE]])</f>
        <v>13</v>
      </c>
      <c r="K958" s="2">
        <f t="shared" si="28"/>
        <v>42687</v>
      </c>
      <c r="L958" t="str">
        <f t="shared" si="29"/>
        <v>Sunday</v>
      </c>
    </row>
    <row r="959" spans="1:12" x14ac:dyDescent="0.35">
      <c r="A959" s="1">
        <v>42687.607638888891</v>
      </c>
      <c r="B959" s="1">
        <v>42687.615277777775</v>
      </c>
      <c r="C959" t="s">
        <v>7</v>
      </c>
      <c r="D959" t="s">
        <v>194</v>
      </c>
      <c r="E959" t="s">
        <v>208</v>
      </c>
      <c r="F959">
        <v>2.4</v>
      </c>
      <c r="J959">
        <f>HOUR(Table1[[#This Row],[START_DATE]])</f>
        <v>14</v>
      </c>
      <c r="K959" s="2">
        <f t="shared" si="28"/>
        <v>42687</v>
      </c>
      <c r="L959" t="str">
        <f t="shared" si="29"/>
        <v>Sunday</v>
      </c>
    </row>
    <row r="960" spans="1:12" x14ac:dyDescent="0.35">
      <c r="A960" s="1">
        <v>42687.634722222225</v>
      </c>
      <c r="B960" s="1">
        <v>42687.64166666667</v>
      </c>
      <c r="C960" t="s">
        <v>7</v>
      </c>
      <c r="D960" t="s">
        <v>208</v>
      </c>
      <c r="E960" t="s">
        <v>194</v>
      </c>
      <c r="F960">
        <v>1.9</v>
      </c>
      <c r="J960">
        <f>HOUR(Table1[[#This Row],[START_DATE]])</f>
        <v>15</v>
      </c>
      <c r="K960" s="2">
        <f t="shared" si="28"/>
        <v>42687</v>
      </c>
      <c r="L960" t="str">
        <f t="shared" si="29"/>
        <v>Sunday</v>
      </c>
    </row>
    <row r="961" spans="1:12" x14ac:dyDescent="0.35">
      <c r="A961" s="1">
        <v>42687.657638888886</v>
      </c>
      <c r="B961" s="1">
        <v>42687.665972222225</v>
      </c>
      <c r="C961" t="s">
        <v>7</v>
      </c>
      <c r="D961" t="s">
        <v>194</v>
      </c>
      <c r="E961" t="s">
        <v>208</v>
      </c>
      <c r="F961">
        <v>1.9</v>
      </c>
      <c r="J961">
        <f>HOUR(Table1[[#This Row],[START_DATE]])</f>
        <v>15</v>
      </c>
      <c r="K961" s="2">
        <f t="shared" si="28"/>
        <v>42687</v>
      </c>
      <c r="L961" t="str">
        <f t="shared" si="29"/>
        <v>Sunday</v>
      </c>
    </row>
    <row r="962" spans="1:12" x14ac:dyDescent="0.35">
      <c r="A962" s="1">
        <v>42688.474999999999</v>
      </c>
      <c r="B962" s="1">
        <v>42688.509027777778</v>
      </c>
      <c r="C962" t="s">
        <v>7</v>
      </c>
      <c r="D962" t="s">
        <v>147</v>
      </c>
      <c r="E962" t="s">
        <v>218</v>
      </c>
      <c r="F962">
        <v>44.6</v>
      </c>
      <c r="G962" t="s">
        <v>13</v>
      </c>
      <c r="J962">
        <f>HOUR(Table1[[#This Row],[START_DATE]])</f>
        <v>11</v>
      </c>
      <c r="K962" s="2">
        <f t="shared" si="28"/>
        <v>42688</v>
      </c>
      <c r="L962" t="str">
        <f t="shared" si="29"/>
        <v>Monday</v>
      </c>
    </row>
    <row r="963" spans="1:12" x14ac:dyDescent="0.35">
      <c r="A963" s="1">
        <v>42688.569444444445</v>
      </c>
      <c r="B963" s="1">
        <v>42688.606249999997</v>
      </c>
      <c r="C963" t="s">
        <v>7</v>
      </c>
      <c r="D963" t="s">
        <v>218</v>
      </c>
      <c r="E963" t="s">
        <v>147</v>
      </c>
      <c r="F963">
        <v>43.6</v>
      </c>
      <c r="G963" t="s">
        <v>13</v>
      </c>
      <c r="J963">
        <f>HOUR(Table1[[#This Row],[START_DATE]])</f>
        <v>13</v>
      </c>
      <c r="K963" s="2">
        <f t="shared" ref="K963:K1026" si="30">DATE(YEAR(A963), MONTH(A963), DAY(A963))</f>
        <v>42688</v>
      </c>
      <c r="L963" t="str">
        <f t="shared" ref="L963:L1026" si="31">TEXT(A963,"dddd")</f>
        <v>Monday</v>
      </c>
    </row>
    <row r="964" spans="1:12" x14ac:dyDescent="0.35">
      <c r="A964" s="1">
        <v>42688.643750000003</v>
      </c>
      <c r="B964" s="1">
        <v>42688.65</v>
      </c>
      <c r="C964" t="s">
        <v>7</v>
      </c>
      <c r="D964" t="s">
        <v>147</v>
      </c>
      <c r="E964" t="s">
        <v>146</v>
      </c>
      <c r="F964">
        <v>2.5</v>
      </c>
      <c r="J964">
        <f>HOUR(Table1[[#This Row],[START_DATE]])</f>
        <v>15</v>
      </c>
      <c r="K964" s="2">
        <f t="shared" si="30"/>
        <v>42688</v>
      </c>
      <c r="L964" t="str">
        <f t="shared" si="31"/>
        <v>Monday</v>
      </c>
    </row>
    <row r="965" spans="1:12" x14ac:dyDescent="0.35">
      <c r="A965" s="1">
        <v>42688.84652777778</v>
      </c>
      <c r="B965" s="1">
        <v>42688.854166666664</v>
      </c>
      <c r="C965" t="s">
        <v>7</v>
      </c>
      <c r="D965" t="s">
        <v>146</v>
      </c>
      <c r="E965" t="s">
        <v>147</v>
      </c>
      <c r="F965">
        <v>3.7</v>
      </c>
      <c r="G965" t="s">
        <v>10</v>
      </c>
      <c r="J965">
        <f>HOUR(Table1[[#This Row],[START_DATE]])</f>
        <v>20</v>
      </c>
      <c r="K965" s="2">
        <f t="shared" si="30"/>
        <v>42688</v>
      </c>
      <c r="L965" t="str">
        <f t="shared" si="31"/>
        <v>Monday</v>
      </c>
    </row>
    <row r="966" spans="1:12" x14ac:dyDescent="0.35">
      <c r="A966" s="1">
        <v>42689.582638888889</v>
      </c>
      <c r="B966" s="1">
        <v>42689.587500000001</v>
      </c>
      <c r="C966" t="s">
        <v>7</v>
      </c>
      <c r="D966" t="s">
        <v>147</v>
      </c>
      <c r="E966" t="s">
        <v>145</v>
      </c>
      <c r="F966">
        <v>5.0999999999999996</v>
      </c>
      <c r="J966">
        <f>HOUR(Table1[[#This Row],[START_DATE]])</f>
        <v>13</v>
      </c>
      <c r="K966" s="2">
        <f t="shared" si="30"/>
        <v>42689</v>
      </c>
      <c r="L966" t="str">
        <f t="shared" si="31"/>
        <v>Tuesday</v>
      </c>
    </row>
    <row r="967" spans="1:12" x14ac:dyDescent="0.35">
      <c r="A967" s="1">
        <v>42689.589583333334</v>
      </c>
      <c r="B967" s="1">
        <v>42689.601388888892</v>
      </c>
      <c r="C967" t="s">
        <v>7</v>
      </c>
      <c r="D967" t="s">
        <v>145</v>
      </c>
      <c r="E967" t="s">
        <v>123</v>
      </c>
      <c r="F967">
        <v>9.6999999999999993</v>
      </c>
      <c r="G967" t="s">
        <v>24</v>
      </c>
      <c r="J967">
        <f>HOUR(Table1[[#This Row],[START_DATE]])</f>
        <v>14</v>
      </c>
      <c r="K967" s="2">
        <f t="shared" si="30"/>
        <v>42689</v>
      </c>
      <c r="L967" t="str">
        <f t="shared" si="31"/>
        <v>Tuesday</v>
      </c>
    </row>
    <row r="968" spans="1:12" x14ac:dyDescent="0.35">
      <c r="A968" s="1">
        <v>42689.863888888889</v>
      </c>
      <c r="B968" s="1">
        <v>42689.875</v>
      </c>
      <c r="C968" t="s">
        <v>7</v>
      </c>
      <c r="D968" t="s">
        <v>123</v>
      </c>
      <c r="E968" t="s">
        <v>147</v>
      </c>
      <c r="F968">
        <v>11.8</v>
      </c>
      <c r="G968" t="s">
        <v>24</v>
      </c>
      <c r="J968">
        <f>HOUR(Table1[[#This Row],[START_DATE]])</f>
        <v>20</v>
      </c>
      <c r="K968" s="2">
        <f t="shared" si="30"/>
        <v>42689</v>
      </c>
      <c r="L968" t="str">
        <f t="shared" si="31"/>
        <v>Tuesday</v>
      </c>
    </row>
    <row r="969" spans="1:12" x14ac:dyDescent="0.35">
      <c r="A969" s="1">
        <v>42690.847916666666</v>
      </c>
      <c r="B969" s="1">
        <v>42690.852083333331</v>
      </c>
      <c r="C969" t="s">
        <v>7</v>
      </c>
      <c r="D969" t="s">
        <v>147</v>
      </c>
      <c r="E969" t="s">
        <v>219</v>
      </c>
      <c r="F969">
        <v>2.2999999999999998</v>
      </c>
      <c r="G969" t="s">
        <v>24</v>
      </c>
      <c r="J969">
        <f>HOUR(Table1[[#This Row],[START_DATE]])</f>
        <v>20</v>
      </c>
      <c r="K969" s="2">
        <f t="shared" si="30"/>
        <v>42690</v>
      </c>
      <c r="L969" t="str">
        <f t="shared" si="31"/>
        <v>Wednesday</v>
      </c>
    </row>
    <row r="970" spans="1:12" x14ac:dyDescent="0.35">
      <c r="A970" s="1">
        <v>42690.952777777777</v>
      </c>
      <c r="B970" s="1">
        <v>42690.959722222222</v>
      </c>
      <c r="C970" t="s">
        <v>7</v>
      </c>
      <c r="D970" t="s">
        <v>219</v>
      </c>
      <c r="E970" t="s">
        <v>147</v>
      </c>
      <c r="F970">
        <v>3.1</v>
      </c>
      <c r="G970" t="s">
        <v>9</v>
      </c>
      <c r="J970">
        <f>HOUR(Table1[[#This Row],[START_DATE]])</f>
        <v>22</v>
      </c>
      <c r="K970" s="2">
        <f t="shared" si="30"/>
        <v>42690</v>
      </c>
      <c r="L970" t="str">
        <f t="shared" si="31"/>
        <v>Wednesday</v>
      </c>
    </row>
    <row r="971" spans="1:12" x14ac:dyDescent="0.35">
      <c r="A971" s="1">
        <v>42691.425694444442</v>
      </c>
      <c r="B971" s="1">
        <v>42691.447222222225</v>
      </c>
      <c r="C971" t="s">
        <v>7</v>
      </c>
      <c r="D971" t="s">
        <v>147</v>
      </c>
      <c r="E971" t="s">
        <v>145</v>
      </c>
      <c r="F971">
        <v>16.3</v>
      </c>
      <c r="G971" t="s">
        <v>13</v>
      </c>
      <c r="J971">
        <f>HOUR(Table1[[#This Row],[START_DATE]])</f>
        <v>10</v>
      </c>
      <c r="K971" s="2">
        <f t="shared" si="30"/>
        <v>42691</v>
      </c>
      <c r="L971" t="str">
        <f t="shared" si="31"/>
        <v>Thursday</v>
      </c>
    </row>
    <row r="972" spans="1:12" x14ac:dyDescent="0.35">
      <c r="A972" s="1">
        <v>42692.839583333334</v>
      </c>
      <c r="B972" s="1">
        <v>42692.84652777778</v>
      </c>
      <c r="C972" t="s">
        <v>7</v>
      </c>
      <c r="D972" t="s">
        <v>15</v>
      </c>
      <c r="E972" t="s">
        <v>16</v>
      </c>
      <c r="F972">
        <v>3.1</v>
      </c>
      <c r="G972" t="s">
        <v>9</v>
      </c>
      <c r="J972">
        <f>HOUR(Table1[[#This Row],[START_DATE]])</f>
        <v>20</v>
      </c>
      <c r="K972" s="2">
        <f t="shared" si="30"/>
        <v>42692</v>
      </c>
      <c r="L972" t="str">
        <f t="shared" si="31"/>
        <v>Friday</v>
      </c>
    </row>
    <row r="973" spans="1:12" x14ac:dyDescent="0.35">
      <c r="A973" s="1">
        <v>42692.890972222223</v>
      </c>
      <c r="B973" s="1">
        <v>42692.898611111108</v>
      </c>
      <c r="C973" t="s">
        <v>7</v>
      </c>
      <c r="D973" t="s">
        <v>16</v>
      </c>
      <c r="E973" t="s">
        <v>15</v>
      </c>
      <c r="F973">
        <v>5.2</v>
      </c>
      <c r="G973" t="s">
        <v>9</v>
      </c>
      <c r="J973">
        <f>HOUR(Table1[[#This Row],[START_DATE]])</f>
        <v>21</v>
      </c>
      <c r="K973" s="2">
        <f t="shared" si="30"/>
        <v>42692</v>
      </c>
      <c r="L973" t="str">
        <f t="shared" si="31"/>
        <v>Friday</v>
      </c>
    </row>
    <row r="974" spans="1:12" x14ac:dyDescent="0.35">
      <c r="A974" s="1">
        <v>42692.913888888892</v>
      </c>
      <c r="B974" s="1">
        <v>42692.931250000001</v>
      </c>
      <c r="C974" t="s">
        <v>7</v>
      </c>
      <c r="D974" t="s">
        <v>220</v>
      </c>
      <c r="E974" t="s">
        <v>38</v>
      </c>
      <c r="F974">
        <v>6.1</v>
      </c>
      <c r="G974" t="s">
        <v>11</v>
      </c>
      <c r="J974">
        <f>HOUR(Table1[[#This Row],[START_DATE]])</f>
        <v>21</v>
      </c>
      <c r="K974" s="2">
        <f t="shared" si="30"/>
        <v>42692</v>
      </c>
      <c r="L974" t="str">
        <f t="shared" si="31"/>
        <v>Friday</v>
      </c>
    </row>
    <row r="975" spans="1:12" x14ac:dyDescent="0.35">
      <c r="A975" s="1">
        <v>42693.57708333333</v>
      </c>
      <c r="B975" s="1">
        <v>42693.590277777781</v>
      </c>
      <c r="C975" t="s">
        <v>7</v>
      </c>
      <c r="D975" t="s">
        <v>15</v>
      </c>
      <c r="E975" t="s">
        <v>36</v>
      </c>
      <c r="F975">
        <v>10.3</v>
      </c>
      <c r="G975" t="s">
        <v>11</v>
      </c>
      <c r="J975">
        <f>HOUR(Table1[[#This Row],[START_DATE]])</f>
        <v>13</v>
      </c>
      <c r="K975" s="2">
        <f t="shared" si="30"/>
        <v>42693</v>
      </c>
      <c r="L975" t="str">
        <f t="shared" si="31"/>
        <v>Saturday</v>
      </c>
    </row>
    <row r="976" spans="1:12" x14ac:dyDescent="0.35">
      <c r="A976" s="1">
        <v>42693.604166666664</v>
      </c>
      <c r="B976" s="1">
        <v>42693.618750000001</v>
      </c>
      <c r="C976" t="s">
        <v>7</v>
      </c>
      <c r="D976" t="s">
        <v>36</v>
      </c>
      <c r="E976" t="s">
        <v>15</v>
      </c>
      <c r="F976">
        <v>10.5</v>
      </c>
      <c r="G976" t="s">
        <v>11</v>
      </c>
      <c r="J976">
        <f>HOUR(Table1[[#This Row],[START_DATE]])</f>
        <v>14</v>
      </c>
      <c r="K976" s="2">
        <f t="shared" si="30"/>
        <v>42693</v>
      </c>
      <c r="L976" t="str">
        <f t="shared" si="31"/>
        <v>Saturday</v>
      </c>
    </row>
    <row r="977" spans="1:12" x14ac:dyDescent="0.35">
      <c r="A977" s="1">
        <v>42693.667361111111</v>
      </c>
      <c r="B977" s="1">
        <v>42693.67083333333</v>
      </c>
      <c r="C977" t="s">
        <v>7</v>
      </c>
      <c r="D977" t="s">
        <v>15</v>
      </c>
      <c r="E977" t="s">
        <v>15</v>
      </c>
      <c r="F977">
        <v>1.5</v>
      </c>
      <c r="J977">
        <f>HOUR(Table1[[#This Row],[START_DATE]])</f>
        <v>16</v>
      </c>
      <c r="K977" s="2">
        <f t="shared" si="30"/>
        <v>42693</v>
      </c>
      <c r="L977" t="str">
        <f t="shared" si="31"/>
        <v>Saturday</v>
      </c>
    </row>
    <row r="978" spans="1:12" x14ac:dyDescent="0.35">
      <c r="A978" s="1">
        <v>42693.685416666667</v>
      </c>
      <c r="B978" s="1">
        <v>42693.695138888892</v>
      </c>
      <c r="C978" t="s">
        <v>7</v>
      </c>
      <c r="D978" t="s">
        <v>15</v>
      </c>
      <c r="E978" t="s">
        <v>15</v>
      </c>
      <c r="F978">
        <v>1.8</v>
      </c>
      <c r="J978">
        <f>HOUR(Table1[[#This Row],[START_DATE]])</f>
        <v>16</v>
      </c>
      <c r="K978" s="2">
        <f t="shared" si="30"/>
        <v>42693</v>
      </c>
      <c r="L978" t="str">
        <f t="shared" si="31"/>
        <v>Saturday</v>
      </c>
    </row>
    <row r="979" spans="1:12" x14ac:dyDescent="0.35">
      <c r="A979" s="1">
        <v>42693.736805555556</v>
      </c>
      <c r="B979" s="1">
        <v>42693.745833333334</v>
      </c>
      <c r="C979" t="s">
        <v>7</v>
      </c>
      <c r="D979" t="s">
        <v>15</v>
      </c>
      <c r="E979" t="s">
        <v>48</v>
      </c>
      <c r="F979">
        <v>5.4</v>
      </c>
      <c r="G979" t="s">
        <v>10</v>
      </c>
      <c r="J979">
        <f>HOUR(Table1[[#This Row],[START_DATE]])</f>
        <v>17</v>
      </c>
      <c r="K979" s="2">
        <f t="shared" si="30"/>
        <v>42693</v>
      </c>
      <c r="L979" t="str">
        <f t="shared" si="31"/>
        <v>Saturday</v>
      </c>
    </row>
    <row r="980" spans="1:12" x14ac:dyDescent="0.35">
      <c r="A980" s="1">
        <v>42693.884722222225</v>
      </c>
      <c r="B980" s="1">
        <v>42693.899305555555</v>
      </c>
      <c r="C980" t="s">
        <v>7</v>
      </c>
      <c r="D980" t="s">
        <v>48</v>
      </c>
      <c r="E980" t="s">
        <v>15</v>
      </c>
      <c r="F980">
        <v>5.4</v>
      </c>
      <c r="G980" t="s">
        <v>13</v>
      </c>
      <c r="J980">
        <f>HOUR(Table1[[#This Row],[START_DATE]])</f>
        <v>21</v>
      </c>
      <c r="K980" s="2">
        <f t="shared" si="30"/>
        <v>42693</v>
      </c>
      <c r="L980" t="str">
        <f t="shared" si="31"/>
        <v>Saturday</v>
      </c>
    </row>
    <row r="981" spans="1:12" x14ac:dyDescent="0.35">
      <c r="A981" s="1">
        <v>42694.435416666667</v>
      </c>
      <c r="B981" s="1">
        <v>42694.480555555558</v>
      </c>
      <c r="C981" t="s">
        <v>7</v>
      </c>
      <c r="D981" t="s">
        <v>15</v>
      </c>
      <c r="E981" t="s">
        <v>15</v>
      </c>
      <c r="F981">
        <v>39.200000000000003</v>
      </c>
      <c r="G981" t="s">
        <v>53</v>
      </c>
      <c r="J981">
        <f>HOUR(Table1[[#This Row],[START_DATE]])</f>
        <v>10</v>
      </c>
      <c r="K981" s="2">
        <f t="shared" si="30"/>
        <v>42694</v>
      </c>
      <c r="L981" t="str">
        <f t="shared" si="31"/>
        <v>Sunday</v>
      </c>
    </row>
    <row r="982" spans="1:12" x14ac:dyDescent="0.35">
      <c r="A982" s="1">
        <v>42694.498611111114</v>
      </c>
      <c r="B982" s="1">
        <v>42694.519444444442</v>
      </c>
      <c r="C982" t="s">
        <v>7</v>
      </c>
      <c r="D982" t="s">
        <v>15</v>
      </c>
      <c r="E982" t="s">
        <v>15</v>
      </c>
      <c r="F982">
        <v>6.4</v>
      </c>
      <c r="G982" t="s">
        <v>13</v>
      </c>
      <c r="J982">
        <f>HOUR(Table1[[#This Row],[START_DATE]])</f>
        <v>11</v>
      </c>
      <c r="K982" s="2">
        <f t="shared" si="30"/>
        <v>42694</v>
      </c>
      <c r="L982" t="str">
        <f t="shared" si="31"/>
        <v>Sunday</v>
      </c>
    </row>
    <row r="983" spans="1:12" x14ac:dyDescent="0.35">
      <c r="A983" s="1">
        <v>42694.623611111114</v>
      </c>
      <c r="B983" s="1">
        <v>42694.629861111112</v>
      </c>
      <c r="C983" t="s">
        <v>7</v>
      </c>
      <c r="D983" t="s">
        <v>15</v>
      </c>
      <c r="E983" t="s">
        <v>15</v>
      </c>
      <c r="F983">
        <v>2.7</v>
      </c>
      <c r="G983" t="s">
        <v>11</v>
      </c>
      <c r="J983">
        <f>HOUR(Table1[[#This Row],[START_DATE]])</f>
        <v>14</v>
      </c>
      <c r="K983" s="2">
        <f t="shared" si="30"/>
        <v>42694</v>
      </c>
      <c r="L983" t="str">
        <f t="shared" si="31"/>
        <v>Sunday</v>
      </c>
    </row>
    <row r="984" spans="1:12" x14ac:dyDescent="0.35">
      <c r="A984" s="1">
        <v>42694.739583333336</v>
      </c>
      <c r="B984" s="1">
        <v>42694.775694444441</v>
      </c>
      <c r="C984" t="s">
        <v>7</v>
      </c>
      <c r="D984" t="s">
        <v>15</v>
      </c>
      <c r="E984" t="s">
        <v>15</v>
      </c>
      <c r="F984">
        <v>18.5</v>
      </c>
      <c r="G984" t="s">
        <v>10</v>
      </c>
      <c r="J984">
        <f>HOUR(Table1[[#This Row],[START_DATE]])</f>
        <v>17</v>
      </c>
      <c r="K984" s="2">
        <f t="shared" si="30"/>
        <v>42694</v>
      </c>
      <c r="L984" t="str">
        <f t="shared" si="31"/>
        <v>Sunday</v>
      </c>
    </row>
    <row r="985" spans="1:12" x14ac:dyDescent="0.35">
      <c r="A985" s="1">
        <v>42695.567361111112</v>
      </c>
      <c r="B985" s="1">
        <v>42695.575694444444</v>
      </c>
      <c r="C985" t="s">
        <v>7</v>
      </c>
      <c r="D985" t="s">
        <v>15</v>
      </c>
      <c r="E985" t="s">
        <v>15</v>
      </c>
      <c r="F985">
        <v>2.5</v>
      </c>
      <c r="G985" t="s">
        <v>9</v>
      </c>
      <c r="J985">
        <f>HOUR(Table1[[#This Row],[START_DATE]])</f>
        <v>13</v>
      </c>
      <c r="K985" s="2">
        <f t="shared" si="30"/>
        <v>42695</v>
      </c>
      <c r="L985" t="str">
        <f t="shared" si="31"/>
        <v>Monday</v>
      </c>
    </row>
    <row r="986" spans="1:12" x14ac:dyDescent="0.35">
      <c r="A986" s="1">
        <v>42695.606944444444</v>
      </c>
      <c r="B986" s="1">
        <v>42695.613888888889</v>
      </c>
      <c r="C986" t="s">
        <v>7</v>
      </c>
      <c r="D986" t="s">
        <v>15</v>
      </c>
      <c r="E986" t="s">
        <v>15</v>
      </c>
      <c r="F986">
        <v>2.1</v>
      </c>
      <c r="G986" t="s">
        <v>9</v>
      </c>
      <c r="J986">
        <f>HOUR(Table1[[#This Row],[START_DATE]])</f>
        <v>14</v>
      </c>
      <c r="K986" s="2">
        <f t="shared" si="30"/>
        <v>42695</v>
      </c>
      <c r="L986" t="str">
        <f t="shared" si="31"/>
        <v>Monday</v>
      </c>
    </row>
    <row r="987" spans="1:12" x14ac:dyDescent="0.35">
      <c r="A987" s="1">
        <v>42695.743055555555</v>
      </c>
      <c r="B987" s="1">
        <v>42695.75277777778</v>
      </c>
      <c r="C987" t="s">
        <v>7</v>
      </c>
      <c r="D987" t="s">
        <v>15</v>
      </c>
      <c r="E987" t="s">
        <v>65</v>
      </c>
      <c r="F987">
        <v>6.7</v>
      </c>
      <c r="G987" t="s">
        <v>10</v>
      </c>
      <c r="J987">
        <f>HOUR(Table1[[#This Row],[START_DATE]])</f>
        <v>17</v>
      </c>
      <c r="K987" s="2">
        <f t="shared" si="30"/>
        <v>42695</v>
      </c>
      <c r="L987" t="str">
        <f t="shared" si="31"/>
        <v>Monday</v>
      </c>
    </row>
    <row r="988" spans="1:12" x14ac:dyDescent="0.35">
      <c r="A988" s="1">
        <v>42695.762499999997</v>
      </c>
      <c r="B988" s="1">
        <v>42695.768750000003</v>
      </c>
      <c r="C988" t="s">
        <v>7</v>
      </c>
      <c r="D988" t="s">
        <v>65</v>
      </c>
      <c r="E988" t="s">
        <v>16</v>
      </c>
      <c r="F988">
        <v>3.5</v>
      </c>
      <c r="G988" t="s">
        <v>9</v>
      </c>
      <c r="J988">
        <f>HOUR(Table1[[#This Row],[START_DATE]])</f>
        <v>18</v>
      </c>
      <c r="K988" s="2">
        <f t="shared" si="30"/>
        <v>42695</v>
      </c>
      <c r="L988" t="str">
        <f t="shared" si="31"/>
        <v>Monday</v>
      </c>
    </row>
    <row r="989" spans="1:12" x14ac:dyDescent="0.35">
      <c r="A989" s="1">
        <v>42695.779861111114</v>
      </c>
      <c r="B989" s="1">
        <v>42695.785416666666</v>
      </c>
      <c r="C989" t="s">
        <v>7</v>
      </c>
      <c r="D989" t="s">
        <v>16</v>
      </c>
      <c r="E989" t="s">
        <v>15</v>
      </c>
      <c r="F989">
        <v>3.4</v>
      </c>
      <c r="G989" t="s">
        <v>10</v>
      </c>
      <c r="J989">
        <f>HOUR(Table1[[#This Row],[START_DATE]])</f>
        <v>18</v>
      </c>
      <c r="K989" s="2">
        <f t="shared" si="30"/>
        <v>42695</v>
      </c>
      <c r="L989" t="str">
        <f t="shared" si="31"/>
        <v>Monday</v>
      </c>
    </row>
    <row r="990" spans="1:12" x14ac:dyDescent="0.35">
      <c r="A990" s="1">
        <v>42696.633333333331</v>
      </c>
      <c r="B990" s="1">
        <v>42696.643750000003</v>
      </c>
      <c r="C990" t="s">
        <v>7</v>
      </c>
      <c r="D990" t="s">
        <v>15</v>
      </c>
      <c r="E990" t="s">
        <v>15</v>
      </c>
      <c r="F990">
        <v>5.5</v>
      </c>
      <c r="G990" t="s">
        <v>11</v>
      </c>
      <c r="J990">
        <f>HOUR(Table1[[#This Row],[START_DATE]])</f>
        <v>15</v>
      </c>
      <c r="K990" s="2">
        <f t="shared" si="30"/>
        <v>42696</v>
      </c>
      <c r="L990" t="str">
        <f t="shared" si="31"/>
        <v>Tuesday</v>
      </c>
    </row>
    <row r="991" spans="1:12" x14ac:dyDescent="0.35">
      <c r="A991" s="1">
        <v>42696.646527777775</v>
      </c>
      <c r="B991" s="1">
        <v>42696.655555555553</v>
      </c>
      <c r="C991" t="s">
        <v>7</v>
      </c>
      <c r="D991" t="s">
        <v>15</v>
      </c>
      <c r="E991" t="s">
        <v>15</v>
      </c>
      <c r="F991">
        <v>4.0999999999999996</v>
      </c>
      <c r="G991" t="s">
        <v>11</v>
      </c>
      <c r="J991">
        <f>HOUR(Table1[[#This Row],[START_DATE]])</f>
        <v>15</v>
      </c>
      <c r="K991" s="2">
        <f t="shared" si="30"/>
        <v>42696</v>
      </c>
      <c r="L991" t="str">
        <f t="shared" si="31"/>
        <v>Tuesday</v>
      </c>
    </row>
    <row r="992" spans="1:12" x14ac:dyDescent="0.35">
      <c r="A992" s="1">
        <v>42696.660416666666</v>
      </c>
      <c r="B992" s="1">
        <v>42696.696527777778</v>
      </c>
      <c r="C992" t="s">
        <v>7</v>
      </c>
      <c r="D992" t="s">
        <v>15</v>
      </c>
      <c r="E992" t="s">
        <v>15</v>
      </c>
      <c r="F992">
        <v>12.7</v>
      </c>
      <c r="G992" t="s">
        <v>13</v>
      </c>
      <c r="J992">
        <f>HOUR(Table1[[#This Row],[START_DATE]])</f>
        <v>15</v>
      </c>
      <c r="K992" s="2">
        <f t="shared" si="30"/>
        <v>42696</v>
      </c>
      <c r="L992" t="str">
        <f t="shared" si="31"/>
        <v>Tuesday</v>
      </c>
    </row>
    <row r="993" spans="1:12" x14ac:dyDescent="0.35">
      <c r="A993" s="1">
        <v>42696.762499999997</v>
      </c>
      <c r="B993" s="1">
        <v>42696.769444444442</v>
      </c>
      <c r="C993" t="s">
        <v>7</v>
      </c>
      <c r="D993" t="s">
        <v>15</v>
      </c>
      <c r="E993" t="s">
        <v>16</v>
      </c>
      <c r="F993">
        <v>3</v>
      </c>
      <c r="G993" t="s">
        <v>9</v>
      </c>
      <c r="J993">
        <f>HOUR(Table1[[#This Row],[START_DATE]])</f>
        <v>18</v>
      </c>
      <c r="K993" s="2">
        <f t="shared" si="30"/>
        <v>42696</v>
      </c>
      <c r="L993" t="str">
        <f t="shared" si="31"/>
        <v>Tuesday</v>
      </c>
    </row>
    <row r="994" spans="1:12" x14ac:dyDescent="0.35">
      <c r="A994" s="1">
        <v>42696.876388888886</v>
      </c>
      <c r="B994" s="1">
        <v>42696.884722222225</v>
      </c>
      <c r="C994" t="s">
        <v>7</v>
      </c>
      <c r="D994" t="s">
        <v>16</v>
      </c>
      <c r="E994" t="s">
        <v>15</v>
      </c>
      <c r="F994">
        <v>3.5</v>
      </c>
      <c r="G994" t="s">
        <v>13</v>
      </c>
      <c r="J994">
        <f>HOUR(Table1[[#This Row],[START_DATE]])</f>
        <v>21</v>
      </c>
      <c r="K994" s="2">
        <f t="shared" si="30"/>
        <v>42696</v>
      </c>
      <c r="L994" t="str">
        <f t="shared" si="31"/>
        <v>Tuesday</v>
      </c>
    </row>
    <row r="995" spans="1:12" x14ac:dyDescent="0.35">
      <c r="A995" s="1">
        <v>42697.648611111108</v>
      </c>
      <c r="B995" s="1">
        <v>42697.659722222219</v>
      </c>
      <c r="C995" t="s">
        <v>7</v>
      </c>
      <c r="D995" t="s">
        <v>15</v>
      </c>
      <c r="E995" t="s">
        <v>15</v>
      </c>
      <c r="F995">
        <v>5.9</v>
      </c>
      <c r="G995" t="s">
        <v>9</v>
      </c>
      <c r="J995">
        <f>HOUR(Table1[[#This Row],[START_DATE]])</f>
        <v>15</v>
      </c>
      <c r="K995" s="2">
        <f t="shared" si="30"/>
        <v>42697</v>
      </c>
      <c r="L995" t="str">
        <f t="shared" si="31"/>
        <v>Wednesday</v>
      </c>
    </row>
    <row r="996" spans="1:12" x14ac:dyDescent="0.35">
      <c r="A996" s="1">
        <v>42697.679166666669</v>
      </c>
      <c r="B996" s="1">
        <v>42697.686805555553</v>
      </c>
      <c r="C996" t="s">
        <v>7</v>
      </c>
      <c r="D996" t="s">
        <v>15</v>
      </c>
      <c r="E996" t="s">
        <v>15</v>
      </c>
      <c r="F996">
        <v>1.9</v>
      </c>
      <c r="J996">
        <f>HOUR(Table1[[#This Row],[START_DATE]])</f>
        <v>16</v>
      </c>
      <c r="K996" s="2">
        <f t="shared" si="30"/>
        <v>42697</v>
      </c>
      <c r="L996" t="str">
        <f t="shared" si="31"/>
        <v>Wednesday</v>
      </c>
    </row>
    <row r="997" spans="1:12" x14ac:dyDescent="0.35">
      <c r="A997" s="1">
        <v>42697.700694444444</v>
      </c>
      <c r="B997" s="1">
        <v>42697.708333333336</v>
      </c>
      <c r="C997" t="s">
        <v>7</v>
      </c>
      <c r="D997" t="s">
        <v>15</v>
      </c>
      <c r="E997" t="s">
        <v>15</v>
      </c>
      <c r="F997">
        <v>3.3</v>
      </c>
      <c r="J997">
        <f>HOUR(Table1[[#This Row],[START_DATE]])</f>
        <v>16</v>
      </c>
      <c r="K997" s="2">
        <f t="shared" si="30"/>
        <v>42697</v>
      </c>
      <c r="L997" t="str">
        <f t="shared" si="31"/>
        <v>Wednesday</v>
      </c>
    </row>
    <row r="998" spans="1:12" x14ac:dyDescent="0.35">
      <c r="A998" s="1">
        <v>42697.775694444441</v>
      </c>
      <c r="B998" s="1">
        <v>42697.782638888886</v>
      </c>
      <c r="C998" t="s">
        <v>7</v>
      </c>
      <c r="D998" t="s">
        <v>15</v>
      </c>
      <c r="E998" t="s">
        <v>15</v>
      </c>
      <c r="F998">
        <v>1.3</v>
      </c>
      <c r="J998">
        <f>HOUR(Table1[[#This Row],[START_DATE]])</f>
        <v>18</v>
      </c>
      <c r="K998" s="2">
        <f t="shared" si="30"/>
        <v>42697</v>
      </c>
      <c r="L998" t="str">
        <f t="shared" si="31"/>
        <v>Wednesday</v>
      </c>
    </row>
    <row r="999" spans="1:12" x14ac:dyDescent="0.35">
      <c r="A999" s="1">
        <v>42699.490972222222</v>
      </c>
      <c r="B999" s="1">
        <v>42699.50277777778</v>
      </c>
      <c r="C999" t="s">
        <v>7</v>
      </c>
      <c r="D999" t="s">
        <v>15</v>
      </c>
      <c r="E999" t="s">
        <v>36</v>
      </c>
      <c r="F999">
        <v>10.3</v>
      </c>
      <c r="G999" t="s">
        <v>11</v>
      </c>
      <c r="J999">
        <f>HOUR(Table1[[#This Row],[START_DATE]])</f>
        <v>11</v>
      </c>
      <c r="K999" s="2">
        <f t="shared" si="30"/>
        <v>42699</v>
      </c>
      <c r="L999" t="str">
        <f t="shared" si="31"/>
        <v>Friday</v>
      </c>
    </row>
    <row r="1000" spans="1:12" x14ac:dyDescent="0.35">
      <c r="A1000" s="1">
        <v>42699.550694444442</v>
      </c>
      <c r="B1000" s="1">
        <v>42699.563194444447</v>
      </c>
      <c r="C1000" t="s">
        <v>7</v>
      </c>
      <c r="D1000" t="s">
        <v>36</v>
      </c>
      <c r="E1000" t="s">
        <v>15</v>
      </c>
      <c r="F1000">
        <v>11.1</v>
      </c>
      <c r="G1000" t="s">
        <v>11</v>
      </c>
      <c r="J1000">
        <f>HOUR(Table1[[#This Row],[START_DATE]])</f>
        <v>13</v>
      </c>
      <c r="K1000" s="2">
        <f t="shared" si="30"/>
        <v>42699</v>
      </c>
      <c r="L1000" t="str">
        <f t="shared" si="31"/>
        <v>Friday</v>
      </c>
    </row>
    <row r="1001" spans="1:12" x14ac:dyDescent="0.35">
      <c r="A1001" s="1">
        <v>42700.662499999999</v>
      </c>
      <c r="B1001" s="1">
        <v>42700.665972222225</v>
      </c>
      <c r="C1001" t="s">
        <v>7</v>
      </c>
      <c r="D1001" t="s">
        <v>15</v>
      </c>
      <c r="E1001" t="s">
        <v>15</v>
      </c>
      <c r="F1001">
        <v>1.4</v>
      </c>
      <c r="J1001">
        <f>HOUR(Table1[[#This Row],[START_DATE]])</f>
        <v>15</v>
      </c>
      <c r="K1001" s="2">
        <f t="shared" si="30"/>
        <v>42700</v>
      </c>
      <c r="L1001" t="str">
        <f t="shared" si="31"/>
        <v>Saturday</v>
      </c>
    </row>
    <row r="1002" spans="1:12" x14ac:dyDescent="0.35">
      <c r="A1002" s="1">
        <v>42700.708333333336</v>
      </c>
      <c r="B1002" s="1">
        <v>42700.716666666667</v>
      </c>
      <c r="C1002" t="s">
        <v>7</v>
      </c>
      <c r="D1002" t="s">
        <v>15</v>
      </c>
      <c r="E1002" t="s">
        <v>48</v>
      </c>
      <c r="F1002">
        <v>5.0999999999999996</v>
      </c>
      <c r="G1002" t="s">
        <v>11</v>
      </c>
      <c r="J1002">
        <f>HOUR(Table1[[#This Row],[START_DATE]])</f>
        <v>17</v>
      </c>
      <c r="K1002" s="2">
        <f t="shared" si="30"/>
        <v>42700</v>
      </c>
      <c r="L1002" t="str">
        <f t="shared" si="31"/>
        <v>Saturday</v>
      </c>
    </row>
    <row r="1003" spans="1:12" x14ac:dyDescent="0.35">
      <c r="A1003" s="1">
        <v>42700.73333333333</v>
      </c>
      <c r="B1003" s="1">
        <v>42700.74722222222</v>
      </c>
      <c r="C1003" t="s">
        <v>7</v>
      </c>
      <c r="D1003" t="s">
        <v>48</v>
      </c>
      <c r="E1003" t="s">
        <v>112</v>
      </c>
      <c r="F1003">
        <v>9</v>
      </c>
      <c r="G1003" t="s">
        <v>11</v>
      </c>
      <c r="J1003">
        <f>HOUR(Table1[[#This Row],[START_DATE]])</f>
        <v>17</v>
      </c>
      <c r="K1003" s="2">
        <f t="shared" si="30"/>
        <v>42700</v>
      </c>
      <c r="L1003" t="str">
        <f t="shared" si="31"/>
        <v>Saturday</v>
      </c>
    </row>
    <row r="1004" spans="1:12" x14ac:dyDescent="0.35">
      <c r="A1004" s="1">
        <v>42700.770138888889</v>
      </c>
      <c r="B1004" s="1">
        <v>42700.794444444444</v>
      </c>
      <c r="C1004" t="s">
        <v>7</v>
      </c>
      <c r="D1004" t="s">
        <v>112</v>
      </c>
      <c r="E1004" t="s">
        <v>15</v>
      </c>
      <c r="F1004">
        <v>13.3</v>
      </c>
      <c r="G1004" t="s">
        <v>53</v>
      </c>
      <c r="J1004">
        <f>HOUR(Table1[[#This Row],[START_DATE]])</f>
        <v>18</v>
      </c>
      <c r="K1004" s="2">
        <f t="shared" si="30"/>
        <v>42700</v>
      </c>
      <c r="L1004" t="str">
        <f t="shared" si="31"/>
        <v>Saturday</v>
      </c>
    </row>
    <row r="1005" spans="1:12" x14ac:dyDescent="0.35">
      <c r="A1005" s="1">
        <v>42700.824305555558</v>
      </c>
      <c r="B1005" s="1">
        <v>42700.82916666667</v>
      </c>
      <c r="C1005" t="s">
        <v>7</v>
      </c>
      <c r="D1005" t="s">
        <v>15</v>
      </c>
      <c r="E1005" t="s">
        <v>15</v>
      </c>
      <c r="F1005">
        <v>2.5</v>
      </c>
      <c r="G1005" t="s">
        <v>10</v>
      </c>
      <c r="J1005">
        <f>HOUR(Table1[[#This Row],[START_DATE]])</f>
        <v>19</v>
      </c>
      <c r="K1005" s="2">
        <f t="shared" si="30"/>
        <v>42700</v>
      </c>
      <c r="L1005" t="str">
        <f t="shared" si="31"/>
        <v>Saturday</v>
      </c>
    </row>
    <row r="1006" spans="1:12" x14ac:dyDescent="0.35">
      <c r="A1006" s="1">
        <v>42701.665972222225</v>
      </c>
      <c r="B1006" s="1">
        <v>42701.67083333333</v>
      </c>
      <c r="C1006" t="s">
        <v>7</v>
      </c>
      <c r="D1006" t="s">
        <v>15</v>
      </c>
      <c r="E1006" t="s">
        <v>16</v>
      </c>
      <c r="F1006">
        <v>3.3</v>
      </c>
      <c r="G1006" t="s">
        <v>9</v>
      </c>
      <c r="J1006">
        <f>HOUR(Table1[[#This Row],[START_DATE]])</f>
        <v>15</v>
      </c>
      <c r="K1006" s="2">
        <f t="shared" si="30"/>
        <v>42701</v>
      </c>
      <c r="L1006" t="str">
        <f t="shared" si="31"/>
        <v>Sunday</v>
      </c>
    </row>
    <row r="1007" spans="1:12" x14ac:dyDescent="0.35">
      <c r="A1007" s="1">
        <v>42701.788194444445</v>
      </c>
      <c r="B1007" s="1">
        <v>42701.79791666667</v>
      </c>
      <c r="C1007" t="s">
        <v>7</v>
      </c>
      <c r="D1007" t="s">
        <v>16</v>
      </c>
      <c r="E1007" t="s">
        <v>15</v>
      </c>
      <c r="F1007">
        <v>2.9</v>
      </c>
      <c r="J1007">
        <f>HOUR(Table1[[#This Row],[START_DATE]])</f>
        <v>18</v>
      </c>
      <c r="K1007" s="2">
        <f t="shared" si="30"/>
        <v>42701</v>
      </c>
      <c r="L1007" t="str">
        <f t="shared" si="31"/>
        <v>Sunday</v>
      </c>
    </row>
    <row r="1008" spans="1:12" x14ac:dyDescent="0.35">
      <c r="A1008" s="1">
        <v>42704.460416666669</v>
      </c>
      <c r="B1008" s="1">
        <v>42704.481944444444</v>
      </c>
      <c r="C1008" t="s">
        <v>7</v>
      </c>
      <c r="D1008" t="s">
        <v>15</v>
      </c>
      <c r="E1008" t="s">
        <v>40</v>
      </c>
      <c r="F1008">
        <v>8.5</v>
      </c>
      <c r="G1008" t="s">
        <v>13</v>
      </c>
      <c r="J1008">
        <f>HOUR(Table1[[#This Row],[START_DATE]])</f>
        <v>11</v>
      </c>
      <c r="K1008" s="2">
        <f t="shared" si="30"/>
        <v>42704</v>
      </c>
      <c r="L1008" t="str">
        <f t="shared" si="31"/>
        <v>Wednesday</v>
      </c>
    </row>
    <row r="1009" spans="1:12" x14ac:dyDescent="0.35">
      <c r="A1009" s="1">
        <v>42704.495138888888</v>
      </c>
      <c r="B1009" s="1">
        <v>42704.524305555555</v>
      </c>
      <c r="C1009" t="s">
        <v>7</v>
      </c>
      <c r="D1009" t="s">
        <v>40</v>
      </c>
      <c r="E1009" t="s">
        <v>16</v>
      </c>
      <c r="F1009">
        <v>6.7</v>
      </c>
      <c r="G1009" t="s">
        <v>24</v>
      </c>
      <c r="J1009">
        <f>HOUR(Table1[[#This Row],[START_DATE]])</f>
        <v>11</v>
      </c>
      <c r="K1009" s="2">
        <f t="shared" si="30"/>
        <v>42704</v>
      </c>
      <c r="L1009" t="str">
        <f t="shared" si="31"/>
        <v>Wednesday</v>
      </c>
    </row>
    <row r="1010" spans="1:12" x14ac:dyDescent="0.35">
      <c r="A1010" s="1">
        <v>42704.529861111114</v>
      </c>
      <c r="B1010" s="1">
        <v>42704.536805555559</v>
      </c>
      <c r="C1010" t="s">
        <v>7</v>
      </c>
      <c r="D1010" t="s">
        <v>16</v>
      </c>
      <c r="E1010" t="s">
        <v>15</v>
      </c>
      <c r="F1010">
        <v>3.1</v>
      </c>
      <c r="J1010">
        <f>HOUR(Table1[[#This Row],[START_DATE]])</f>
        <v>12</v>
      </c>
      <c r="K1010" s="2">
        <f t="shared" si="30"/>
        <v>42704</v>
      </c>
      <c r="L1010" t="str">
        <f t="shared" si="31"/>
        <v>Wednesday</v>
      </c>
    </row>
    <row r="1011" spans="1:12" x14ac:dyDescent="0.35">
      <c r="A1011" s="1">
        <v>42705.322222222225</v>
      </c>
      <c r="B1011" s="1">
        <v>42705.332638888889</v>
      </c>
      <c r="C1011" t="s">
        <v>7</v>
      </c>
      <c r="D1011" t="s">
        <v>15</v>
      </c>
      <c r="E1011" t="s">
        <v>15</v>
      </c>
      <c r="F1011">
        <v>5.5</v>
      </c>
      <c r="G1011" t="s">
        <v>11</v>
      </c>
      <c r="J1011">
        <f>HOUR(Table1[[#This Row],[START_DATE]])</f>
        <v>7</v>
      </c>
      <c r="K1011" s="2">
        <f t="shared" si="30"/>
        <v>42705</v>
      </c>
      <c r="L1011" t="str">
        <f t="shared" si="31"/>
        <v>Thursday</v>
      </c>
    </row>
    <row r="1012" spans="1:12" x14ac:dyDescent="0.35">
      <c r="A1012" s="1">
        <v>42705.359027777777</v>
      </c>
      <c r="B1012" s="1">
        <v>42705.370138888888</v>
      </c>
      <c r="C1012" t="s">
        <v>7</v>
      </c>
      <c r="D1012" t="s">
        <v>15</v>
      </c>
      <c r="E1012" t="s">
        <v>15</v>
      </c>
      <c r="F1012">
        <v>5.5</v>
      </c>
      <c r="G1012" t="s">
        <v>10</v>
      </c>
      <c r="J1012">
        <f>HOUR(Table1[[#This Row],[START_DATE]])</f>
        <v>8</v>
      </c>
      <c r="K1012" s="2">
        <f t="shared" si="30"/>
        <v>42705</v>
      </c>
      <c r="L1012" t="str">
        <f t="shared" si="31"/>
        <v>Thursday</v>
      </c>
    </row>
    <row r="1013" spans="1:12" x14ac:dyDescent="0.35">
      <c r="A1013" s="1">
        <v>42705.75</v>
      </c>
      <c r="B1013" s="1">
        <v>42705.758333333331</v>
      </c>
      <c r="C1013" t="s">
        <v>7</v>
      </c>
      <c r="D1013" t="s">
        <v>15</v>
      </c>
      <c r="E1013" t="s">
        <v>16</v>
      </c>
      <c r="F1013">
        <v>2.9</v>
      </c>
      <c r="G1013" t="s">
        <v>9</v>
      </c>
      <c r="J1013">
        <f>HOUR(Table1[[#This Row],[START_DATE]])</f>
        <v>18</v>
      </c>
      <c r="K1013" s="2">
        <f t="shared" si="30"/>
        <v>42705</v>
      </c>
      <c r="L1013" t="str">
        <f t="shared" si="31"/>
        <v>Thursday</v>
      </c>
    </row>
    <row r="1014" spans="1:12" x14ac:dyDescent="0.35">
      <c r="A1014" s="1">
        <v>42705.85833333333</v>
      </c>
      <c r="B1014" s="1">
        <v>42705.865277777775</v>
      </c>
      <c r="C1014" t="s">
        <v>7</v>
      </c>
      <c r="D1014" t="s">
        <v>16</v>
      </c>
      <c r="E1014" t="s">
        <v>15</v>
      </c>
      <c r="F1014">
        <v>2.9</v>
      </c>
      <c r="G1014" t="s">
        <v>13</v>
      </c>
      <c r="J1014">
        <f>HOUR(Table1[[#This Row],[START_DATE]])</f>
        <v>20</v>
      </c>
      <c r="K1014" s="2">
        <f t="shared" si="30"/>
        <v>42705</v>
      </c>
      <c r="L1014" t="str">
        <f t="shared" si="31"/>
        <v>Thursday</v>
      </c>
    </row>
    <row r="1015" spans="1:12" x14ac:dyDescent="0.35">
      <c r="A1015" s="1">
        <v>42706.508333333331</v>
      </c>
      <c r="B1015" s="1">
        <v>42706.515972222223</v>
      </c>
      <c r="C1015" t="s">
        <v>7</v>
      </c>
      <c r="D1015" t="s">
        <v>15</v>
      </c>
      <c r="E1015" t="s">
        <v>48</v>
      </c>
      <c r="F1015">
        <v>5.0999999999999996</v>
      </c>
      <c r="G1015" t="s">
        <v>9</v>
      </c>
      <c r="J1015">
        <f>HOUR(Table1[[#This Row],[START_DATE]])</f>
        <v>12</v>
      </c>
      <c r="K1015" s="2">
        <f t="shared" si="30"/>
        <v>42706</v>
      </c>
      <c r="L1015" t="str">
        <f t="shared" si="31"/>
        <v>Friday</v>
      </c>
    </row>
    <row r="1016" spans="1:12" x14ac:dyDescent="0.35">
      <c r="A1016" s="1">
        <v>42706.546527777777</v>
      </c>
      <c r="B1016" s="1">
        <v>42706.556944444441</v>
      </c>
      <c r="C1016" t="s">
        <v>7</v>
      </c>
      <c r="D1016" t="s">
        <v>48</v>
      </c>
      <c r="E1016" t="s">
        <v>15</v>
      </c>
      <c r="F1016">
        <v>5.3</v>
      </c>
      <c r="G1016" t="s">
        <v>13</v>
      </c>
      <c r="J1016">
        <f>HOUR(Table1[[#This Row],[START_DATE]])</f>
        <v>13</v>
      </c>
      <c r="K1016" s="2">
        <f t="shared" si="30"/>
        <v>42706</v>
      </c>
      <c r="L1016" t="str">
        <f t="shared" si="31"/>
        <v>Friday</v>
      </c>
    </row>
    <row r="1017" spans="1:12" x14ac:dyDescent="0.35">
      <c r="A1017" s="1">
        <v>42706.861805555556</v>
      </c>
      <c r="B1017" s="1">
        <v>42706.866666666669</v>
      </c>
      <c r="C1017" t="s">
        <v>7</v>
      </c>
      <c r="D1017" t="s">
        <v>15</v>
      </c>
      <c r="E1017" t="s">
        <v>16</v>
      </c>
      <c r="F1017">
        <v>3.3</v>
      </c>
      <c r="G1017" t="s">
        <v>9</v>
      </c>
      <c r="J1017">
        <f>HOUR(Table1[[#This Row],[START_DATE]])</f>
        <v>20</v>
      </c>
      <c r="K1017" s="2">
        <f t="shared" si="30"/>
        <v>42706</v>
      </c>
      <c r="L1017" t="str">
        <f t="shared" si="31"/>
        <v>Friday</v>
      </c>
    </row>
    <row r="1018" spans="1:12" x14ac:dyDescent="0.35">
      <c r="A1018" s="1">
        <v>42706.957638888889</v>
      </c>
      <c r="B1018" s="1">
        <v>42706.963194444441</v>
      </c>
      <c r="C1018" t="s">
        <v>7</v>
      </c>
      <c r="D1018" t="s">
        <v>16</v>
      </c>
      <c r="E1018" t="s">
        <v>15</v>
      </c>
      <c r="F1018">
        <v>3</v>
      </c>
      <c r="G1018" t="s">
        <v>13</v>
      </c>
      <c r="J1018">
        <f>HOUR(Table1[[#This Row],[START_DATE]])</f>
        <v>22</v>
      </c>
      <c r="K1018" s="2">
        <f t="shared" si="30"/>
        <v>42706</v>
      </c>
      <c r="L1018" t="str">
        <f t="shared" si="31"/>
        <v>Friday</v>
      </c>
    </row>
    <row r="1019" spans="1:12" x14ac:dyDescent="0.35">
      <c r="A1019" s="1">
        <v>42707.774305555555</v>
      </c>
      <c r="B1019" s="1">
        <v>42707.788888888892</v>
      </c>
      <c r="C1019" t="s">
        <v>7</v>
      </c>
      <c r="D1019" t="s">
        <v>15</v>
      </c>
      <c r="E1019" t="s">
        <v>221</v>
      </c>
      <c r="F1019">
        <v>6.6</v>
      </c>
      <c r="G1019" t="s">
        <v>10</v>
      </c>
      <c r="J1019">
        <f>HOUR(Table1[[#This Row],[START_DATE]])</f>
        <v>18</v>
      </c>
      <c r="K1019" s="2">
        <f t="shared" si="30"/>
        <v>42707</v>
      </c>
      <c r="L1019" t="str">
        <f t="shared" si="31"/>
        <v>Saturday</v>
      </c>
    </row>
    <row r="1020" spans="1:12" x14ac:dyDescent="0.35">
      <c r="A1020" s="1">
        <v>42707.797222222223</v>
      </c>
      <c r="B1020" s="1">
        <v>42707.802083333336</v>
      </c>
      <c r="C1020" t="s">
        <v>7</v>
      </c>
      <c r="D1020" t="s">
        <v>221</v>
      </c>
      <c r="E1020" t="s">
        <v>16</v>
      </c>
      <c r="F1020">
        <v>1.8</v>
      </c>
      <c r="J1020">
        <f>HOUR(Table1[[#This Row],[START_DATE]])</f>
        <v>19</v>
      </c>
      <c r="K1020" s="2">
        <f t="shared" si="30"/>
        <v>42707</v>
      </c>
      <c r="L1020" t="str">
        <f t="shared" si="31"/>
        <v>Saturday</v>
      </c>
    </row>
    <row r="1021" spans="1:12" x14ac:dyDescent="0.35">
      <c r="A1021" s="1">
        <v>42707.854861111111</v>
      </c>
      <c r="B1021" s="1">
        <v>42707.861805555556</v>
      </c>
      <c r="C1021" t="s">
        <v>7</v>
      </c>
      <c r="D1021" t="s">
        <v>16</v>
      </c>
      <c r="E1021" t="s">
        <v>15</v>
      </c>
      <c r="F1021">
        <v>3</v>
      </c>
      <c r="G1021" t="s">
        <v>13</v>
      </c>
      <c r="J1021">
        <f>HOUR(Table1[[#This Row],[START_DATE]])</f>
        <v>20</v>
      </c>
      <c r="K1021" s="2">
        <f t="shared" si="30"/>
        <v>42707</v>
      </c>
      <c r="L1021" t="str">
        <f t="shared" si="31"/>
        <v>Saturday</v>
      </c>
    </row>
    <row r="1022" spans="1:12" x14ac:dyDescent="0.35">
      <c r="A1022" s="1">
        <v>42708.788888888892</v>
      </c>
      <c r="B1022" s="1">
        <v>42708.793749999997</v>
      </c>
      <c r="C1022" t="s">
        <v>7</v>
      </c>
      <c r="D1022" t="s">
        <v>15</v>
      </c>
      <c r="E1022" t="s">
        <v>16</v>
      </c>
      <c r="F1022">
        <v>2.9</v>
      </c>
      <c r="G1022" t="s">
        <v>9</v>
      </c>
      <c r="J1022">
        <f>HOUR(Table1[[#This Row],[START_DATE]])</f>
        <v>18</v>
      </c>
      <c r="K1022" s="2">
        <f t="shared" si="30"/>
        <v>42708</v>
      </c>
      <c r="L1022" t="str">
        <f t="shared" si="31"/>
        <v>Sunday</v>
      </c>
    </row>
    <row r="1023" spans="1:12" x14ac:dyDescent="0.35">
      <c r="A1023" s="1">
        <v>42708.849305555559</v>
      </c>
      <c r="B1023" s="1">
        <v>42708.856944444444</v>
      </c>
      <c r="C1023" t="s">
        <v>7</v>
      </c>
      <c r="D1023" t="s">
        <v>16</v>
      </c>
      <c r="E1023" t="s">
        <v>15</v>
      </c>
      <c r="F1023">
        <v>3.4</v>
      </c>
      <c r="G1023" t="s">
        <v>13</v>
      </c>
      <c r="J1023">
        <f>HOUR(Table1[[#This Row],[START_DATE]])</f>
        <v>20</v>
      </c>
      <c r="K1023" s="2">
        <f t="shared" si="30"/>
        <v>42708</v>
      </c>
      <c r="L1023" t="str">
        <f t="shared" si="31"/>
        <v>Sunday</v>
      </c>
    </row>
    <row r="1024" spans="1:12" x14ac:dyDescent="0.35">
      <c r="A1024" s="1">
        <v>42709.75277777778</v>
      </c>
      <c r="B1024" s="1">
        <v>42709.761805555558</v>
      </c>
      <c r="C1024" t="s">
        <v>7</v>
      </c>
      <c r="D1024" t="s">
        <v>15</v>
      </c>
      <c r="E1024" t="s">
        <v>15</v>
      </c>
      <c r="F1024">
        <v>4.0999999999999996</v>
      </c>
      <c r="J1024">
        <f>HOUR(Table1[[#This Row],[START_DATE]])</f>
        <v>18</v>
      </c>
      <c r="K1024" s="2">
        <f t="shared" si="30"/>
        <v>42709</v>
      </c>
      <c r="L1024" t="str">
        <f t="shared" si="31"/>
        <v>Monday</v>
      </c>
    </row>
    <row r="1025" spans="1:12" x14ac:dyDescent="0.35">
      <c r="A1025" s="1">
        <v>42709.806944444441</v>
      </c>
      <c r="B1025" s="1">
        <v>42709.817361111112</v>
      </c>
      <c r="C1025" t="s">
        <v>7</v>
      </c>
      <c r="D1025" t="s">
        <v>15</v>
      </c>
      <c r="E1025" t="s">
        <v>15</v>
      </c>
      <c r="F1025">
        <v>3.8</v>
      </c>
      <c r="G1025" t="s">
        <v>9</v>
      </c>
      <c r="J1025">
        <f>HOUR(Table1[[#This Row],[START_DATE]])</f>
        <v>19</v>
      </c>
      <c r="K1025" s="2">
        <f t="shared" si="30"/>
        <v>42709</v>
      </c>
      <c r="L1025" t="str">
        <f t="shared" si="31"/>
        <v>Monday</v>
      </c>
    </row>
    <row r="1026" spans="1:12" x14ac:dyDescent="0.35">
      <c r="A1026" s="1">
        <v>42711.502083333333</v>
      </c>
      <c r="B1026" s="1">
        <v>42711.522222222222</v>
      </c>
      <c r="C1026" t="s">
        <v>7</v>
      </c>
      <c r="D1026" t="s">
        <v>15</v>
      </c>
      <c r="E1026" t="s">
        <v>15</v>
      </c>
      <c r="F1026">
        <v>6.6</v>
      </c>
      <c r="G1026" t="s">
        <v>11</v>
      </c>
      <c r="J1026">
        <f>HOUR(Table1[[#This Row],[START_DATE]])</f>
        <v>12</v>
      </c>
      <c r="K1026" s="2">
        <f t="shared" si="30"/>
        <v>42711</v>
      </c>
      <c r="L1026" t="str">
        <f t="shared" si="31"/>
        <v>Wednesday</v>
      </c>
    </row>
    <row r="1027" spans="1:12" x14ac:dyDescent="0.35">
      <c r="A1027" s="1">
        <v>42711.524305555555</v>
      </c>
      <c r="B1027" s="1">
        <v>42711.531944444447</v>
      </c>
      <c r="C1027" t="s">
        <v>7</v>
      </c>
      <c r="D1027" t="s">
        <v>15</v>
      </c>
      <c r="E1027" t="s">
        <v>15</v>
      </c>
      <c r="F1027">
        <v>4</v>
      </c>
      <c r="G1027" t="s">
        <v>11</v>
      </c>
      <c r="J1027">
        <f>HOUR(Table1[[#This Row],[START_DATE]])</f>
        <v>12</v>
      </c>
      <c r="K1027" s="2">
        <f t="shared" ref="K1027:K1090" si="32">DATE(YEAR(A1027), MONTH(A1027), DAY(A1027))</f>
        <v>42711</v>
      </c>
      <c r="L1027" t="str">
        <f t="shared" ref="L1027:L1090" si="33">TEXT(A1027,"dddd")</f>
        <v>Wednesday</v>
      </c>
    </row>
    <row r="1028" spans="1:12" x14ac:dyDescent="0.35">
      <c r="A1028" s="1">
        <v>42711.828472222223</v>
      </c>
      <c r="B1028" s="1">
        <v>42711.842361111114</v>
      </c>
      <c r="C1028" t="s">
        <v>7</v>
      </c>
      <c r="D1028" t="s">
        <v>15</v>
      </c>
      <c r="E1028" t="s">
        <v>15</v>
      </c>
      <c r="F1028">
        <v>7</v>
      </c>
      <c r="G1028" t="s">
        <v>13</v>
      </c>
      <c r="J1028">
        <f>HOUR(Table1[[#This Row],[START_DATE]])</f>
        <v>19</v>
      </c>
      <c r="K1028" s="2">
        <f t="shared" si="32"/>
        <v>42711</v>
      </c>
      <c r="L1028" t="str">
        <f t="shared" si="33"/>
        <v>Wednesday</v>
      </c>
    </row>
    <row r="1029" spans="1:12" x14ac:dyDescent="0.35">
      <c r="A1029" s="1">
        <v>42711.884027777778</v>
      </c>
      <c r="B1029" s="1">
        <v>42711.909722222219</v>
      </c>
      <c r="C1029" t="s">
        <v>7</v>
      </c>
      <c r="D1029" t="s">
        <v>15</v>
      </c>
      <c r="E1029" t="s">
        <v>15</v>
      </c>
      <c r="F1029">
        <v>6.9</v>
      </c>
      <c r="G1029" t="s">
        <v>9</v>
      </c>
      <c r="J1029">
        <f>HOUR(Table1[[#This Row],[START_DATE]])</f>
        <v>21</v>
      </c>
      <c r="K1029" s="2">
        <f t="shared" si="32"/>
        <v>42711</v>
      </c>
      <c r="L1029" t="str">
        <f t="shared" si="33"/>
        <v>Wednesday</v>
      </c>
    </row>
    <row r="1030" spans="1:12" x14ac:dyDescent="0.35">
      <c r="A1030" s="1">
        <v>42712.59652777778</v>
      </c>
      <c r="B1030" s="1">
        <v>42712.605555555558</v>
      </c>
      <c r="C1030" t="s">
        <v>7</v>
      </c>
      <c r="D1030" t="s">
        <v>15</v>
      </c>
      <c r="E1030" t="s">
        <v>15</v>
      </c>
      <c r="F1030">
        <v>3.4</v>
      </c>
      <c r="G1030" t="s">
        <v>10</v>
      </c>
      <c r="J1030">
        <f>HOUR(Table1[[#This Row],[START_DATE]])</f>
        <v>14</v>
      </c>
      <c r="K1030" s="2">
        <f t="shared" si="32"/>
        <v>42712</v>
      </c>
      <c r="L1030" t="str">
        <f t="shared" si="33"/>
        <v>Thursday</v>
      </c>
    </row>
    <row r="1031" spans="1:12" x14ac:dyDescent="0.35">
      <c r="A1031" s="1">
        <v>42712.620138888888</v>
      </c>
      <c r="B1031" s="1">
        <v>42712.626388888886</v>
      </c>
      <c r="C1031" t="s">
        <v>7</v>
      </c>
      <c r="D1031" t="s">
        <v>15</v>
      </c>
      <c r="E1031" t="s">
        <v>15</v>
      </c>
      <c r="F1031">
        <v>3.4</v>
      </c>
      <c r="G1031" t="s">
        <v>10</v>
      </c>
      <c r="J1031">
        <f>HOUR(Table1[[#This Row],[START_DATE]])</f>
        <v>14</v>
      </c>
      <c r="K1031" s="2">
        <f t="shared" si="32"/>
        <v>42712</v>
      </c>
      <c r="L1031" t="str">
        <f t="shared" si="33"/>
        <v>Thursday</v>
      </c>
    </row>
    <row r="1032" spans="1:12" x14ac:dyDescent="0.35">
      <c r="A1032" s="1">
        <v>42712.806944444441</v>
      </c>
      <c r="B1032" s="1">
        <v>42712.810416666667</v>
      </c>
      <c r="C1032" t="s">
        <v>7</v>
      </c>
      <c r="D1032" t="s">
        <v>15</v>
      </c>
      <c r="E1032" t="s">
        <v>15</v>
      </c>
      <c r="F1032">
        <v>2</v>
      </c>
      <c r="G1032" t="s">
        <v>11</v>
      </c>
      <c r="J1032">
        <f>HOUR(Table1[[#This Row],[START_DATE]])</f>
        <v>19</v>
      </c>
      <c r="K1032" s="2">
        <f t="shared" si="32"/>
        <v>42712</v>
      </c>
      <c r="L1032" t="str">
        <f t="shared" si="33"/>
        <v>Thursday</v>
      </c>
    </row>
    <row r="1033" spans="1:12" x14ac:dyDescent="0.35">
      <c r="A1033" s="1">
        <v>42712.893055555556</v>
      </c>
      <c r="B1033" s="1">
        <v>42712.896527777775</v>
      </c>
      <c r="C1033" t="s">
        <v>7</v>
      </c>
      <c r="D1033" t="s">
        <v>15</v>
      </c>
      <c r="E1033" t="s">
        <v>15</v>
      </c>
      <c r="F1033">
        <v>2</v>
      </c>
      <c r="G1033" t="s">
        <v>10</v>
      </c>
      <c r="J1033">
        <f>HOUR(Table1[[#This Row],[START_DATE]])</f>
        <v>21</v>
      </c>
      <c r="K1033" s="2">
        <f t="shared" si="32"/>
        <v>42712</v>
      </c>
      <c r="L1033" t="str">
        <f t="shared" si="33"/>
        <v>Thursday</v>
      </c>
    </row>
    <row r="1034" spans="1:12" x14ac:dyDescent="0.35">
      <c r="A1034" s="1">
        <v>42713.506249999999</v>
      </c>
      <c r="B1034" s="1">
        <v>42713.51666666667</v>
      </c>
      <c r="C1034" t="s">
        <v>7</v>
      </c>
      <c r="D1034" t="s">
        <v>15</v>
      </c>
      <c r="E1034" t="s">
        <v>48</v>
      </c>
      <c r="F1034">
        <v>5.0999999999999996</v>
      </c>
      <c r="G1034" t="s">
        <v>10</v>
      </c>
      <c r="J1034">
        <f>HOUR(Table1[[#This Row],[START_DATE]])</f>
        <v>12</v>
      </c>
      <c r="K1034" s="2">
        <f t="shared" si="32"/>
        <v>42713</v>
      </c>
      <c r="L1034" t="str">
        <f t="shared" si="33"/>
        <v>Friday</v>
      </c>
    </row>
    <row r="1035" spans="1:12" x14ac:dyDescent="0.35">
      <c r="A1035" s="1">
        <v>42713.552083333336</v>
      </c>
      <c r="B1035" s="1">
        <v>42713.571527777778</v>
      </c>
      <c r="C1035" t="s">
        <v>7</v>
      </c>
      <c r="D1035" t="s">
        <v>48</v>
      </c>
      <c r="E1035" t="s">
        <v>15</v>
      </c>
      <c r="F1035">
        <v>8.8000000000000007</v>
      </c>
      <c r="G1035" t="s">
        <v>24</v>
      </c>
      <c r="J1035">
        <f>HOUR(Table1[[#This Row],[START_DATE]])</f>
        <v>13</v>
      </c>
      <c r="K1035" s="2">
        <f t="shared" si="32"/>
        <v>42713</v>
      </c>
      <c r="L1035" t="str">
        <f t="shared" si="33"/>
        <v>Friday</v>
      </c>
    </row>
    <row r="1036" spans="1:12" x14ac:dyDescent="0.35">
      <c r="A1036" s="1">
        <v>42713.84097222222</v>
      </c>
      <c r="B1036" s="1">
        <v>42713.856944444444</v>
      </c>
      <c r="C1036" t="s">
        <v>7</v>
      </c>
      <c r="D1036" t="s">
        <v>15</v>
      </c>
      <c r="E1036" t="s">
        <v>15</v>
      </c>
      <c r="F1036">
        <v>5.6</v>
      </c>
      <c r="G1036" t="s">
        <v>11</v>
      </c>
      <c r="J1036">
        <f>HOUR(Table1[[#This Row],[START_DATE]])</f>
        <v>20</v>
      </c>
      <c r="K1036" s="2">
        <f t="shared" si="32"/>
        <v>42713</v>
      </c>
      <c r="L1036" t="str">
        <f t="shared" si="33"/>
        <v>Friday</v>
      </c>
    </row>
    <row r="1037" spans="1:12" x14ac:dyDescent="0.35">
      <c r="A1037" s="1">
        <v>42713.918749999997</v>
      </c>
      <c r="B1037" s="1">
        <v>42713.956250000003</v>
      </c>
      <c r="C1037" t="s">
        <v>7</v>
      </c>
      <c r="D1037" t="s">
        <v>15</v>
      </c>
      <c r="E1037" t="s">
        <v>15</v>
      </c>
      <c r="F1037">
        <v>18.899999999999999</v>
      </c>
      <c r="G1037" t="s">
        <v>13</v>
      </c>
      <c r="J1037">
        <f>HOUR(Table1[[#This Row],[START_DATE]])</f>
        <v>22</v>
      </c>
      <c r="K1037" s="2">
        <f t="shared" si="32"/>
        <v>42713</v>
      </c>
      <c r="L1037" t="str">
        <f t="shared" si="33"/>
        <v>Friday</v>
      </c>
    </row>
    <row r="1038" spans="1:12" x14ac:dyDescent="0.35">
      <c r="A1038" s="1">
        <v>42714.529861111114</v>
      </c>
      <c r="B1038" s="1">
        <v>42714.552777777775</v>
      </c>
      <c r="C1038" t="s">
        <v>7</v>
      </c>
      <c r="D1038" t="s">
        <v>15</v>
      </c>
      <c r="E1038" t="s">
        <v>222</v>
      </c>
      <c r="F1038">
        <v>15.6</v>
      </c>
      <c r="G1038" t="s">
        <v>11</v>
      </c>
      <c r="J1038">
        <f>HOUR(Table1[[#This Row],[START_DATE]])</f>
        <v>12</v>
      </c>
      <c r="K1038" s="2">
        <f t="shared" si="32"/>
        <v>42714</v>
      </c>
      <c r="L1038" t="str">
        <f t="shared" si="33"/>
        <v>Saturday</v>
      </c>
    </row>
    <row r="1039" spans="1:12" x14ac:dyDescent="0.35">
      <c r="A1039" s="1">
        <v>42714.612500000003</v>
      </c>
      <c r="B1039" s="1">
        <v>42714.637499999997</v>
      </c>
      <c r="C1039" t="s">
        <v>7</v>
      </c>
      <c r="D1039" t="s">
        <v>222</v>
      </c>
      <c r="E1039" t="s">
        <v>15</v>
      </c>
      <c r="F1039">
        <v>15.6</v>
      </c>
      <c r="G1039" t="s">
        <v>10</v>
      </c>
      <c r="J1039">
        <f>HOUR(Table1[[#This Row],[START_DATE]])</f>
        <v>14</v>
      </c>
      <c r="K1039" s="2">
        <f t="shared" si="32"/>
        <v>42714</v>
      </c>
      <c r="L1039" t="str">
        <f t="shared" si="33"/>
        <v>Saturday</v>
      </c>
    </row>
    <row r="1040" spans="1:12" x14ac:dyDescent="0.35">
      <c r="A1040" s="1">
        <v>42714.761805555558</v>
      </c>
      <c r="B1040" s="1">
        <v>42714.768750000003</v>
      </c>
      <c r="C1040" t="s">
        <v>7</v>
      </c>
      <c r="D1040" t="s">
        <v>15</v>
      </c>
      <c r="E1040" t="s">
        <v>16</v>
      </c>
      <c r="F1040">
        <v>3</v>
      </c>
      <c r="G1040" t="s">
        <v>9</v>
      </c>
      <c r="J1040">
        <f>HOUR(Table1[[#This Row],[START_DATE]])</f>
        <v>18</v>
      </c>
      <c r="K1040" s="2">
        <f t="shared" si="32"/>
        <v>42714</v>
      </c>
      <c r="L1040" t="str">
        <f t="shared" si="33"/>
        <v>Saturday</v>
      </c>
    </row>
    <row r="1041" spans="1:12" x14ac:dyDescent="0.35">
      <c r="A1041" s="1">
        <v>42714.92291666667</v>
      </c>
      <c r="B1041" s="1">
        <v>42714.931250000001</v>
      </c>
      <c r="C1041" t="s">
        <v>7</v>
      </c>
      <c r="D1041" t="s">
        <v>16</v>
      </c>
      <c r="E1041" t="s">
        <v>15</v>
      </c>
      <c r="F1041">
        <v>3.1</v>
      </c>
      <c r="G1041" t="s">
        <v>13</v>
      </c>
      <c r="J1041">
        <f>HOUR(Table1[[#This Row],[START_DATE]])</f>
        <v>22</v>
      </c>
      <c r="K1041" s="2">
        <f t="shared" si="32"/>
        <v>42714</v>
      </c>
      <c r="L1041" t="str">
        <f t="shared" si="33"/>
        <v>Saturday</v>
      </c>
    </row>
    <row r="1042" spans="1:12" x14ac:dyDescent="0.35">
      <c r="A1042" s="1">
        <v>42715.67083333333</v>
      </c>
      <c r="B1042" s="1">
        <v>42715.677777777775</v>
      </c>
      <c r="C1042" t="s">
        <v>7</v>
      </c>
      <c r="D1042" t="s">
        <v>15</v>
      </c>
      <c r="E1042" t="s">
        <v>16</v>
      </c>
      <c r="F1042">
        <v>3</v>
      </c>
      <c r="G1042" t="s">
        <v>9</v>
      </c>
      <c r="J1042">
        <f>HOUR(Table1[[#This Row],[START_DATE]])</f>
        <v>16</v>
      </c>
      <c r="K1042" s="2">
        <f t="shared" si="32"/>
        <v>42715</v>
      </c>
      <c r="L1042" t="str">
        <f t="shared" si="33"/>
        <v>Sunday</v>
      </c>
    </row>
    <row r="1043" spans="1:12" x14ac:dyDescent="0.35">
      <c r="A1043" s="1">
        <v>42715.795138888891</v>
      </c>
      <c r="B1043" s="1">
        <v>42715.802083333336</v>
      </c>
      <c r="C1043" t="s">
        <v>7</v>
      </c>
      <c r="D1043" t="s">
        <v>16</v>
      </c>
      <c r="E1043" t="s">
        <v>15</v>
      </c>
      <c r="F1043">
        <v>4.8</v>
      </c>
      <c r="G1043" t="s">
        <v>10</v>
      </c>
      <c r="J1043">
        <f>HOUR(Table1[[#This Row],[START_DATE]])</f>
        <v>19</v>
      </c>
      <c r="K1043" s="2">
        <f t="shared" si="32"/>
        <v>42715</v>
      </c>
      <c r="L1043" t="str">
        <f t="shared" si="33"/>
        <v>Sunday</v>
      </c>
    </row>
    <row r="1044" spans="1:12" x14ac:dyDescent="0.35">
      <c r="A1044" s="1">
        <v>42715.908333333333</v>
      </c>
      <c r="B1044" s="1">
        <v>42715.913888888892</v>
      </c>
      <c r="C1044" t="s">
        <v>7</v>
      </c>
      <c r="D1044" t="s">
        <v>15</v>
      </c>
      <c r="E1044" t="s">
        <v>15</v>
      </c>
      <c r="F1044">
        <v>2.1</v>
      </c>
      <c r="G1044" t="s">
        <v>10</v>
      </c>
      <c r="J1044">
        <f>HOUR(Table1[[#This Row],[START_DATE]])</f>
        <v>21</v>
      </c>
      <c r="K1044" s="2">
        <f t="shared" si="32"/>
        <v>42715</v>
      </c>
      <c r="L1044" t="str">
        <f t="shared" si="33"/>
        <v>Sunday</v>
      </c>
    </row>
    <row r="1045" spans="1:12" x14ac:dyDescent="0.35">
      <c r="A1045" s="1">
        <v>42716.556944444441</v>
      </c>
      <c r="B1045" s="1">
        <v>42716.563888888886</v>
      </c>
      <c r="C1045" t="s">
        <v>7</v>
      </c>
      <c r="D1045" t="s">
        <v>15</v>
      </c>
      <c r="E1045" t="s">
        <v>15</v>
      </c>
      <c r="F1045">
        <v>3.1</v>
      </c>
      <c r="G1045" t="s">
        <v>10</v>
      </c>
      <c r="J1045">
        <f>HOUR(Table1[[#This Row],[START_DATE]])</f>
        <v>13</v>
      </c>
      <c r="K1045" s="2">
        <f t="shared" si="32"/>
        <v>42716</v>
      </c>
      <c r="L1045" t="str">
        <f t="shared" si="33"/>
        <v>Monday</v>
      </c>
    </row>
    <row r="1046" spans="1:12" x14ac:dyDescent="0.35">
      <c r="A1046" s="1">
        <v>42716.566666666666</v>
      </c>
      <c r="B1046" s="1">
        <v>42716.57708333333</v>
      </c>
      <c r="C1046" t="s">
        <v>7</v>
      </c>
      <c r="D1046" t="s">
        <v>15</v>
      </c>
      <c r="E1046" t="s">
        <v>48</v>
      </c>
      <c r="F1046">
        <v>4.4000000000000004</v>
      </c>
      <c r="G1046" t="s">
        <v>9</v>
      </c>
      <c r="J1046">
        <f>HOUR(Table1[[#This Row],[START_DATE]])</f>
        <v>13</v>
      </c>
      <c r="K1046" s="2">
        <f t="shared" si="32"/>
        <v>42716</v>
      </c>
      <c r="L1046" t="str">
        <f t="shared" si="33"/>
        <v>Monday</v>
      </c>
    </row>
    <row r="1047" spans="1:12" x14ac:dyDescent="0.35">
      <c r="A1047" s="1">
        <v>42716.601388888892</v>
      </c>
      <c r="B1047" s="1">
        <v>42716.61041666667</v>
      </c>
      <c r="C1047" t="s">
        <v>7</v>
      </c>
      <c r="D1047" t="s">
        <v>48</v>
      </c>
      <c r="E1047" t="s">
        <v>15</v>
      </c>
      <c r="F1047">
        <v>4.7</v>
      </c>
      <c r="G1047" t="s">
        <v>13</v>
      </c>
      <c r="J1047">
        <f>HOUR(Table1[[#This Row],[START_DATE]])</f>
        <v>14</v>
      </c>
      <c r="K1047" s="2">
        <f t="shared" si="32"/>
        <v>42716</v>
      </c>
      <c r="L1047" t="str">
        <f t="shared" si="33"/>
        <v>Monday</v>
      </c>
    </row>
    <row r="1048" spans="1:12" x14ac:dyDescent="0.35">
      <c r="A1048" s="1">
        <v>42716.743750000001</v>
      </c>
      <c r="B1048" s="1">
        <v>42716.750694444447</v>
      </c>
      <c r="C1048" t="s">
        <v>7</v>
      </c>
      <c r="D1048" t="s">
        <v>15</v>
      </c>
      <c r="E1048" t="s">
        <v>16</v>
      </c>
      <c r="F1048">
        <v>3</v>
      </c>
      <c r="G1048" t="s">
        <v>9</v>
      </c>
      <c r="J1048">
        <f>HOUR(Table1[[#This Row],[START_DATE]])</f>
        <v>17</v>
      </c>
      <c r="K1048" s="2">
        <f t="shared" si="32"/>
        <v>42716</v>
      </c>
      <c r="L1048" t="str">
        <f t="shared" si="33"/>
        <v>Monday</v>
      </c>
    </row>
    <row r="1049" spans="1:12" x14ac:dyDescent="0.35">
      <c r="A1049" s="1">
        <v>42716.866666666669</v>
      </c>
      <c r="B1049" s="1">
        <v>42716.872916666667</v>
      </c>
      <c r="C1049" t="s">
        <v>7</v>
      </c>
      <c r="D1049" t="s">
        <v>16</v>
      </c>
      <c r="E1049" t="s">
        <v>15</v>
      </c>
      <c r="F1049">
        <v>3</v>
      </c>
      <c r="G1049" t="s">
        <v>13</v>
      </c>
      <c r="J1049">
        <f>HOUR(Table1[[#This Row],[START_DATE]])</f>
        <v>20</v>
      </c>
      <c r="K1049" s="2">
        <f t="shared" si="32"/>
        <v>42716</v>
      </c>
      <c r="L1049" t="str">
        <f t="shared" si="33"/>
        <v>Monday</v>
      </c>
    </row>
    <row r="1050" spans="1:12" x14ac:dyDescent="0.35">
      <c r="A1050" s="1">
        <v>42717.763194444444</v>
      </c>
      <c r="B1050" s="1">
        <v>42717.770138888889</v>
      </c>
      <c r="C1050" t="s">
        <v>7</v>
      </c>
      <c r="D1050" t="s">
        <v>15</v>
      </c>
      <c r="E1050" t="s">
        <v>15</v>
      </c>
      <c r="F1050">
        <v>4.2</v>
      </c>
      <c r="G1050" t="s">
        <v>10</v>
      </c>
      <c r="J1050">
        <f>HOUR(Table1[[#This Row],[START_DATE]])</f>
        <v>18</v>
      </c>
      <c r="K1050" s="2">
        <f t="shared" si="32"/>
        <v>42717</v>
      </c>
      <c r="L1050" t="str">
        <f t="shared" si="33"/>
        <v>Tuesday</v>
      </c>
    </row>
    <row r="1051" spans="1:12" x14ac:dyDescent="0.35">
      <c r="A1051" s="1">
        <v>42717.847222222219</v>
      </c>
      <c r="B1051" s="1">
        <v>42717.853472222225</v>
      </c>
      <c r="C1051" t="s">
        <v>7</v>
      </c>
      <c r="D1051" t="s">
        <v>15</v>
      </c>
      <c r="E1051" t="s">
        <v>15</v>
      </c>
      <c r="F1051">
        <v>4.0999999999999996</v>
      </c>
      <c r="G1051" t="s">
        <v>9</v>
      </c>
      <c r="J1051">
        <f>HOUR(Table1[[#This Row],[START_DATE]])</f>
        <v>20</v>
      </c>
      <c r="K1051" s="2">
        <f t="shared" si="32"/>
        <v>42717</v>
      </c>
      <c r="L1051" t="str">
        <f t="shared" si="33"/>
        <v>Tuesday</v>
      </c>
    </row>
    <row r="1052" spans="1:12" x14ac:dyDescent="0.35">
      <c r="A1052" s="1">
        <v>42718.702777777777</v>
      </c>
      <c r="B1052" s="1">
        <v>42718.715277777781</v>
      </c>
      <c r="C1052" t="s">
        <v>7</v>
      </c>
      <c r="D1052" t="s">
        <v>15</v>
      </c>
      <c r="E1052" t="s">
        <v>15</v>
      </c>
      <c r="F1052">
        <v>3.4</v>
      </c>
      <c r="J1052">
        <f>HOUR(Table1[[#This Row],[START_DATE]])</f>
        <v>16</v>
      </c>
      <c r="K1052" s="2">
        <f t="shared" si="32"/>
        <v>42718</v>
      </c>
      <c r="L1052" t="str">
        <f t="shared" si="33"/>
        <v>Wednesday</v>
      </c>
    </row>
    <row r="1053" spans="1:12" x14ac:dyDescent="0.35">
      <c r="A1053" s="1">
        <v>42718.723611111112</v>
      </c>
      <c r="B1053" s="1">
        <v>42718.731944444444</v>
      </c>
      <c r="C1053" t="s">
        <v>7</v>
      </c>
      <c r="D1053" t="s">
        <v>15</v>
      </c>
      <c r="E1053" t="s">
        <v>15</v>
      </c>
      <c r="F1053">
        <v>3.3</v>
      </c>
      <c r="J1053">
        <f>HOUR(Table1[[#This Row],[START_DATE]])</f>
        <v>17</v>
      </c>
      <c r="K1053" s="2">
        <f t="shared" si="32"/>
        <v>42718</v>
      </c>
      <c r="L1053" t="str">
        <f t="shared" si="33"/>
        <v>Wednesday</v>
      </c>
    </row>
    <row r="1054" spans="1:12" x14ac:dyDescent="0.35">
      <c r="A1054" s="1">
        <v>42718.743055555555</v>
      </c>
      <c r="B1054" s="1">
        <v>42718.75</v>
      </c>
      <c r="C1054" t="s">
        <v>7</v>
      </c>
      <c r="D1054" t="s">
        <v>15</v>
      </c>
      <c r="E1054" t="s">
        <v>16</v>
      </c>
      <c r="F1054">
        <v>3</v>
      </c>
      <c r="G1054" t="s">
        <v>9</v>
      </c>
      <c r="J1054">
        <f>HOUR(Table1[[#This Row],[START_DATE]])</f>
        <v>17</v>
      </c>
      <c r="K1054" s="2">
        <f t="shared" si="32"/>
        <v>42718</v>
      </c>
      <c r="L1054" t="str">
        <f t="shared" si="33"/>
        <v>Wednesday</v>
      </c>
    </row>
    <row r="1055" spans="1:12" x14ac:dyDescent="0.35">
      <c r="A1055" s="1">
        <v>42718.85</v>
      </c>
      <c r="B1055" s="1">
        <v>42718.861111111109</v>
      </c>
      <c r="C1055" t="s">
        <v>7</v>
      </c>
      <c r="D1055" t="s">
        <v>16</v>
      </c>
      <c r="E1055" t="s">
        <v>15</v>
      </c>
      <c r="F1055">
        <v>3.1</v>
      </c>
      <c r="G1055" t="s">
        <v>13</v>
      </c>
      <c r="J1055">
        <f>HOUR(Table1[[#This Row],[START_DATE]])</f>
        <v>20</v>
      </c>
      <c r="K1055" s="2">
        <f t="shared" si="32"/>
        <v>42718</v>
      </c>
      <c r="L1055" t="str">
        <f t="shared" si="33"/>
        <v>Wednesday</v>
      </c>
    </row>
    <row r="1056" spans="1:12" x14ac:dyDescent="0.35">
      <c r="A1056" s="1">
        <v>42719.597222222219</v>
      </c>
      <c r="B1056" s="1">
        <v>42719.620833333334</v>
      </c>
      <c r="C1056" t="s">
        <v>7</v>
      </c>
      <c r="D1056" t="s">
        <v>15</v>
      </c>
      <c r="E1056" t="s">
        <v>16</v>
      </c>
      <c r="F1056">
        <v>10.6</v>
      </c>
      <c r="G1056" t="s">
        <v>11</v>
      </c>
      <c r="J1056">
        <f>HOUR(Table1[[#This Row],[START_DATE]])</f>
        <v>14</v>
      </c>
      <c r="K1056" s="2">
        <f t="shared" si="32"/>
        <v>42719</v>
      </c>
      <c r="L1056" t="str">
        <f t="shared" si="33"/>
        <v>Thursday</v>
      </c>
    </row>
    <row r="1057" spans="1:12" x14ac:dyDescent="0.35">
      <c r="A1057" s="1">
        <v>42721.651388888888</v>
      </c>
      <c r="B1057" s="1">
        <v>42721.675000000003</v>
      </c>
      <c r="C1057" t="s">
        <v>7</v>
      </c>
      <c r="D1057" t="s">
        <v>65</v>
      </c>
      <c r="E1057" t="s">
        <v>65</v>
      </c>
      <c r="F1057">
        <v>4.8</v>
      </c>
      <c r="G1057" t="s">
        <v>187</v>
      </c>
      <c r="J1057">
        <f>HOUR(Table1[[#This Row],[START_DATE]])</f>
        <v>15</v>
      </c>
      <c r="K1057" s="2">
        <f t="shared" si="32"/>
        <v>42721</v>
      </c>
      <c r="L1057" t="str">
        <f t="shared" si="33"/>
        <v>Saturday</v>
      </c>
    </row>
    <row r="1058" spans="1:12" x14ac:dyDescent="0.35">
      <c r="A1058" s="1">
        <v>42721.72152777778</v>
      </c>
      <c r="B1058" s="1">
        <v>42721.749305555553</v>
      </c>
      <c r="C1058" t="s">
        <v>7</v>
      </c>
      <c r="D1058" t="s">
        <v>65</v>
      </c>
      <c r="E1058" t="s">
        <v>65</v>
      </c>
      <c r="F1058">
        <v>5.3</v>
      </c>
      <c r="G1058" t="s">
        <v>24</v>
      </c>
      <c r="J1058">
        <f>HOUR(Table1[[#This Row],[START_DATE]])</f>
        <v>17</v>
      </c>
      <c r="K1058" s="2">
        <f t="shared" si="32"/>
        <v>42721</v>
      </c>
      <c r="L1058" t="str">
        <f t="shared" si="33"/>
        <v>Saturday</v>
      </c>
    </row>
    <row r="1059" spans="1:12" x14ac:dyDescent="0.35">
      <c r="A1059" s="1">
        <v>42722.543749999997</v>
      </c>
      <c r="B1059" s="1">
        <v>42722.570138888892</v>
      </c>
      <c r="C1059" t="s">
        <v>7</v>
      </c>
      <c r="D1059" t="s">
        <v>65</v>
      </c>
      <c r="E1059" t="s">
        <v>65</v>
      </c>
      <c r="F1059">
        <v>4.9000000000000004</v>
      </c>
      <c r="G1059" t="s">
        <v>10</v>
      </c>
      <c r="J1059">
        <f>HOUR(Table1[[#This Row],[START_DATE]])</f>
        <v>13</v>
      </c>
      <c r="K1059" s="2">
        <f t="shared" si="32"/>
        <v>42722</v>
      </c>
      <c r="L1059" t="str">
        <f t="shared" si="33"/>
        <v>Sunday</v>
      </c>
    </row>
    <row r="1060" spans="1:12" x14ac:dyDescent="0.35">
      <c r="A1060" s="1">
        <v>42722.693055555559</v>
      </c>
      <c r="B1060" s="1">
        <v>42722.725694444445</v>
      </c>
      <c r="C1060" t="s">
        <v>7</v>
      </c>
      <c r="D1060" t="s">
        <v>65</v>
      </c>
      <c r="E1060" t="s">
        <v>65</v>
      </c>
      <c r="F1060">
        <v>10.199999999999999</v>
      </c>
      <c r="G1060" t="s">
        <v>10</v>
      </c>
      <c r="J1060">
        <f>HOUR(Table1[[#This Row],[START_DATE]])</f>
        <v>16</v>
      </c>
      <c r="K1060" s="2">
        <f t="shared" si="32"/>
        <v>42722</v>
      </c>
      <c r="L1060" t="str">
        <f t="shared" si="33"/>
        <v>Sunday</v>
      </c>
    </row>
    <row r="1061" spans="1:12" x14ac:dyDescent="0.35">
      <c r="A1061" s="1">
        <v>42722.857638888891</v>
      </c>
      <c r="B1061" s="1">
        <v>42722.87777777778</v>
      </c>
      <c r="C1061" t="s">
        <v>7</v>
      </c>
      <c r="D1061" t="s">
        <v>65</v>
      </c>
      <c r="E1061" t="s">
        <v>65</v>
      </c>
      <c r="F1061">
        <v>9.1999999999999993</v>
      </c>
      <c r="J1061">
        <f>HOUR(Table1[[#This Row],[START_DATE]])</f>
        <v>20</v>
      </c>
      <c r="K1061" s="2">
        <f t="shared" si="32"/>
        <v>42722</v>
      </c>
      <c r="L1061" t="str">
        <f t="shared" si="33"/>
        <v>Sunday</v>
      </c>
    </row>
    <row r="1062" spans="1:12" x14ac:dyDescent="0.35">
      <c r="A1062" s="1">
        <v>42723.380555555559</v>
      </c>
      <c r="B1062" s="1">
        <v>42723.4</v>
      </c>
      <c r="C1062" t="s">
        <v>7</v>
      </c>
      <c r="D1062" t="s">
        <v>65</v>
      </c>
      <c r="E1062" t="s">
        <v>68</v>
      </c>
      <c r="F1062">
        <v>7.7</v>
      </c>
      <c r="G1062" t="s">
        <v>10</v>
      </c>
      <c r="J1062">
        <f>HOUR(Table1[[#This Row],[START_DATE]])</f>
        <v>9</v>
      </c>
      <c r="K1062" s="2">
        <f t="shared" si="32"/>
        <v>42723</v>
      </c>
      <c r="L1062" t="str">
        <f t="shared" si="33"/>
        <v>Monday</v>
      </c>
    </row>
    <row r="1063" spans="1:12" x14ac:dyDescent="0.35">
      <c r="A1063" s="1">
        <v>42723.427083333336</v>
      </c>
      <c r="B1063" s="1">
        <v>42723.44027777778</v>
      </c>
      <c r="C1063" t="s">
        <v>7</v>
      </c>
      <c r="D1063" t="s">
        <v>68</v>
      </c>
      <c r="E1063" t="s">
        <v>223</v>
      </c>
      <c r="F1063">
        <v>5.9</v>
      </c>
      <c r="G1063" t="s">
        <v>24</v>
      </c>
      <c r="J1063">
        <f>HOUR(Table1[[#This Row],[START_DATE]])</f>
        <v>10</v>
      </c>
      <c r="K1063" s="2">
        <f t="shared" si="32"/>
        <v>42723</v>
      </c>
      <c r="L1063" t="str">
        <f t="shared" si="33"/>
        <v>Monday</v>
      </c>
    </row>
    <row r="1064" spans="1:12" x14ac:dyDescent="0.35">
      <c r="A1064" s="1">
        <v>42723.544444444444</v>
      </c>
      <c r="B1064" s="1">
        <v>42723.547222222223</v>
      </c>
      <c r="C1064" t="s">
        <v>7</v>
      </c>
      <c r="D1064" t="s">
        <v>223</v>
      </c>
      <c r="E1064" t="s">
        <v>65</v>
      </c>
      <c r="F1064">
        <v>0.7</v>
      </c>
      <c r="G1064" t="s">
        <v>10</v>
      </c>
      <c r="J1064">
        <f>HOUR(Table1[[#This Row],[START_DATE]])</f>
        <v>13</v>
      </c>
      <c r="K1064" s="2">
        <f t="shared" si="32"/>
        <v>42723</v>
      </c>
      <c r="L1064" t="str">
        <f t="shared" si="33"/>
        <v>Monday</v>
      </c>
    </row>
    <row r="1065" spans="1:12" x14ac:dyDescent="0.35">
      <c r="A1065" s="1">
        <v>42723.558333333334</v>
      </c>
      <c r="B1065" s="1">
        <v>42723.565972222219</v>
      </c>
      <c r="C1065" t="s">
        <v>7</v>
      </c>
      <c r="D1065" t="s">
        <v>65</v>
      </c>
      <c r="E1065" t="s">
        <v>65</v>
      </c>
      <c r="F1065">
        <v>1.3</v>
      </c>
      <c r="J1065">
        <f>HOUR(Table1[[#This Row],[START_DATE]])</f>
        <v>13</v>
      </c>
      <c r="K1065" s="2">
        <f t="shared" si="32"/>
        <v>42723</v>
      </c>
      <c r="L1065" t="str">
        <f t="shared" si="33"/>
        <v>Monday</v>
      </c>
    </row>
    <row r="1066" spans="1:12" x14ac:dyDescent="0.35">
      <c r="A1066" s="1">
        <v>42723.588194444441</v>
      </c>
      <c r="B1066" s="1">
        <v>42723.59375</v>
      </c>
      <c r="C1066" t="s">
        <v>7</v>
      </c>
      <c r="D1066" t="s">
        <v>65</v>
      </c>
      <c r="E1066" t="s">
        <v>65</v>
      </c>
      <c r="F1066">
        <v>2.5</v>
      </c>
      <c r="J1066">
        <f>HOUR(Table1[[#This Row],[START_DATE]])</f>
        <v>14</v>
      </c>
      <c r="K1066" s="2">
        <f t="shared" si="32"/>
        <v>42723</v>
      </c>
      <c r="L1066" t="str">
        <f t="shared" si="33"/>
        <v>Monday</v>
      </c>
    </row>
    <row r="1067" spans="1:12" x14ac:dyDescent="0.35">
      <c r="A1067" s="1">
        <v>42723.595833333333</v>
      </c>
      <c r="B1067" s="1">
        <v>42723.605555555558</v>
      </c>
      <c r="C1067" t="s">
        <v>7</v>
      </c>
      <c r="D1067" t="s">
        <v>65</v>
      </c>
      <c r="E1067" t="s">
        <v>65</v>
      </c>
      <c r="F1067">
        <v>5.3</v>
      </c>
      <c r="J1067">
        <f>HOUR(Table1[[#This Row],[START_DATE]])</f>
        <v>14</v>
      </c>
      <c r="K1067" s="2">
        <f t="shared" si="32"/>
        <v>42723</v>
      </c>
      <c r="L1067" t="str">
        <f t="shared" si="33"/>
        <v>Monday</v>
      </c>
    </row>
    <row r="1068" spans="1:12" x14ac:dyDescent="0.35">
      <c r="A1068" s="1">
        <v>42723.609027777777</v>
      </c>
      <c r="B1068" s="1">
        <v>42723.618055555555</v>
      </c>
      <c r="C1068" t="s">
        <v>7</v>
      </c>
      <c r="D1068" t="s">
        <v>65</v>
      </c>
      <c r="E1068" t="s">
        <v>65</v>
      </c>
      <c r="F1068">
        <v>5.4</v>
      </c>
      <c r="J1068">
        <f>HOUR(Table1[[#This Row],[START_DATE]])</f>
        <v>14</v>
      </c>
      <c r="K1068" s="2">
        <f t="shared" si="32"/>
        <v>42723</v>
      </c>
      <c r="L1068" t="str">
        <f t="shared" si="33"/>
        <v>Monday</v>
      </c>
    </row>
    <row r="1069" spans="1:12" x14ac:dyDescent="0.35">
      <c r="A1069" s="1">
        <v>42723.631249999999</v>
      </c>
      <c r="B1069" s="1">
        <v>42723.651388888888</v>
      </c>
      <c r="C1069" t="s">
        <v>7</v>
      </c>
      <c r="D1069" t="s">
        <v>65</v>
      </c>
      <c r="E1069" t="s">
        <v>223</v>
      </c>
      <c r="F1069">
        <v>10.199999999999999</v>
      </c>
      <c r="G1069" t="s">
        <v>13</v>
      </c>
      <c r="J1069">
        <f>HOUR(Table1[[#This Row],[START_DATE]])</f>
        <v>15</v>
      </c>
      <c r="K1069" s="2">
        <f t="shared" si="32"/>
        <v>42723</v>
      </c>
      <c r="L1069" t="str">
        <f t="shared" si="33"/>
        <v>Monday</v>
      </c>
    </row>
    <row r="1070" spans="1:12" x14ac:dyDescent="0.35">
      <c r="A1070" s="1">
        <v>42723.701388888891</v>
      </c>
      <c r="B1070" s="1">
        <v>42723.714583333334</v>
      </c>
      <c r="C1070" t="s">
        <v>7</v>
      </c>
      <c r="D1070" t="s">
        <v>223</v>
      </c>
      <c r="E1070" t="s">
        <v>68</v>
      </c>
      <c r="F1070">
        <v>7.2</v>
      </c>
      <c r="G1070" t="s">
        <v>13</v>
      </c>
      <c r="J1070">
        <f>HOUR(Table1[[#This Row],[START_DATE]])</f>
        <v>16</v>
      </c>
      <c r="K1070" s="2">
        <f t="shared" si="32"/>
        <v>42723</v>
      </c>
      <c r="L1070" t="str">
        <f t="shared" si="33"/>
        <v>Monday</v>
      </c>
    </row>
    <row r="1071" spans="1:12" x14ac:dyDescent="0.35">
      <c r="A1071" s="1">
        <v>42723.795138888891</v>
      </c>
      <c r="B1071" s="1">
        <v>42723.803472222222</v>
      </c>
      <c r="C1071" t="s">
        <v>7</v>
      </c>
      <c r="D1071" t="s">
        <v>68</v>
      </c>
      <c r="E1071" t="s">
        <v>65</v>
      </c>
      <c r="F1071">
        <v>2.2000000000000002</v>
      </c>
      <c r="J1071">
        <f>HOUR(Table1[[#This Row],[START_DATE]])</f>
        <v>19</v>
      </c>
      <c r="K1071" s="2">
        <f t="shared" si="32"/>
        <v>42723</v>
      </c>
      <c r="L1071" t="str">
        <f t="shared" si="33"/>
        <v>Monday</v>
      </c>
    </row>
    <row r="1072" spans="1:12" x14ac:dyDescent="0.35">
      <c r="A1072" s="1">
        <v>42723.829861111109</v>
      </c>
      <c r="B1072" s="1">
        <v>42723.854166666664</v>
      </c>
      <c r="C1072" t="s">
        <v>7</v>
      </c>
      <c r="D1072" t="s">
        <v>65</v>
      </c>
      <c r="E1072" t="s">
        <v>65</v>
      </c>
      <c r="F1072">
        <v>11</v>
      </c>
      <c r="G1072" t="s">
        <v>11</v>
      </c>
      <c r="J1072">
        <f>HOUR(Table1[[#This Row],[START_DATE]])</f>
        <v>19</v>
      </c>
      <c r="K1072" s="2">
        <f t="shared" si="32"/>
        <v>42723</v>
      </c>
      <c r="L1072" t="str">
        <f t="shared" si="33"/>
        <v>Monday</v>
      </c>
    </row>
    <row r="1073" spans="1:12" x14ac:dyDescent="0.35">
      <c r="A1073" s="1">
        <v>42724.367361111108</v>
      </c>
      <c r="B1073" s="1">
        <v>42724.39166666667</v>
      </c>
      <c r="C1073" t="s">
        <v>7</v>
      </c>
      <c r="D1073" t="s">
        <v>65</v>
      </c>
      <c r="E1073" t="s">
        <v>223</v>
      </c>
      <c r="F1073">
        <v>12</v>
      </c>
      <c r="J1073">
        <f>HOUR(Table1[[#This Row],[START_DATE]])</f>
        <v>8</v>
      </c>
      <c r="K1073" s="2">
        <f t="shared" si="32"/>
        <v>42724</v>
      </c>
      <c r="L1073" t="str">
        <f t="shared" si="33"/>
        <v>Tuesday</v>
      </c>
    </row>
    <row r="1074" spans="1:12" x14ac:dyDescent="0.35">
      <c r="A1074" s="1">
        <v>42724.4375</v>
      </c>
      <c r="B1074" s="1">
        <v>42724.45</v>
      </c>
      <c r="C1074" t="s">
        <v>7</v>
      </c>
      <c r="D1074" t="s">
        <v>223</v>
      </c>
      <c r="E1074" t="s">
        <v>223</v>
      </c>
      <c r="F1074">
        <v>3.3</v>
      </c>
      <c r="G1074" t="s">
        <v>10</v>
      </c>
      <c r="J1074">
        <f>HOUR(Table1[[#This Row],[START_DATE]])</f>
        <v>10</v>
      </c>
      <c r="K1074" s="2">
        <f t="shared" si="32"/>
        <v>42724</v>
      </c>
      <c r="L1074" t="str">
        <f t="shared" si="33"/>
        <v>Tuesday</v>
      </c>
    </row>
    <row r="1075" spans="1:12" x14ac:dyDescent="0.35">
      <c r="A1075" s="1">
        <v>42724.479166666664</v>
      </c>
      <c r="B1075" s="1">
        <v>42724.511805555558</v>
      </c>
      <c r="C1075" t="s">
        <v>7</v>
      </c>
      <c r="D1075" t="s">
        <v>223</v>
      </c>
      <c r="E1075" t="s">
        <v>65</v>
      </c>
      <c r="F1075">
        <v>19.399999999999999</v>
      </c>
      <c r="G1075" t="s">
        <v>11</v>
      </c>
      <c r="J1075">
        <f>HOUR(Table1[[#This Row],[START_DATE]])</f>
        <v>11</v>
      </c>
      <c r="K1075" s="2">
        <f t="shared" si="32"/>
        <v>42724</v>
      </c>
      <c r="L1075" t="str">
        <f t="shared" si="33"/>
        <v>Tuesday</v>
      </c>
    </row>
    <row r="1076" spans="1:12" x14ac:dyDescent="0.35">
      <c r="A1076" s="1">
        <v>42724.551388888889</v>
      </c>
      <c r="B1076" s="1">
        <v>42724.555555555555</v>
      </c>
      <c r="C1076" t="s">
        <v>7</v>
      </c>
      <c r="D1076" t="s">
        <v>65</v>
      </c>
      <c r="E1076" t="s">
        <v>65</v>
      </c>
      <c r="F1076">
        <v>1.7</v>
      </c>
      <c r="G1076" t="s">
        <v>10</v>
      </c>
      <c r="J1076">
        <f>HOUR(Table1[[#This Row],[START_DATE]])</f>
        <v>13</v>
      </c>
      <c r="K1076" s="2">
        <f t="shared" si="32"/>
        <v>42724</v>
      </c>
      <c r="L1076" t="str">
        <f t="shared" si="33"/>
        <v>Tuesday</v>
      </c>
    </row>
    <row r="1077" spans="1:12" x14ac:dyDescent="0.35">
      <c r="A1077" s="1">
        <v>42724.57916666667</v>
      </c>
      <c r="B1077" s="1">
        <v>42724.595138888886</v>
      </c>
      <c r="C1077" t="s">
        <v>7</v>
      </c>
      <c r="D1077" t="s">
        <v>65</v>
      </c>
      <c r="E1077" t="s">
        <v>68</v>
      </c>
      <c r="F1077">
        <v>5.7</v>
      </c>
      <c r="G1077" t="s">
        <v>24</v>
      </c>
      <c r="J1077">
        <f>HOUR(Table1[[#This Row],[START_DATE]])</f>
        <v>13</v>
      </c>
      <c r="K1077" s="2">
        <f t="shared" si="32"/>
        <v>42724</v>
      </c>
      <c r="L1077" t="str">
        <f t="shared" si="33"/>
        <v>Tuesday</v>
      </c>
    </row>
    <row r="1078" spans="1:12" x14ac:dyDescent="0.35">
      <c r="A1078" s="1">
        <v>42724.676388888889</v>
      </c>
      <c r="B1078" s="1">
        <v>42724.683333333334</v>
      </c>
      <c r="C1078" t="s">
        <v>7</v>
      </c>
      <c r="D1078" t="s">
        <v>68</v>
      </c>
      <c r="E1078" t="s">
        <v>68</v>
      </c>
      <c r="F1078">
        <v>1.8</v>
      </c>
      <c r="G1078" t="s">
        <v>10</v>
      </c>
      <c r="J1078">
        <f>HOUR(Table1[[#This Row],[START_DATE]])</f>
        <v>16</v>
      </c>
      <c r="K1078" s="2">
        <f t="shared" si="32"/>
        <v>42724</v>
      </c>
      <c r="L1078" t="str">
        <f t="shared" si="33"/>
        <v>Tuesday</v>
      </c>
    </row>
    <row r="1079" spans="1:12" x14ac:dyDescent="0.35">
      <c r="A1079" s="1">
        <v>42724.705555555556</v>
      </c>
      <c r="B1079" s="1">
        <v>42724.713194444441</v>
      </c>
      <c r="C1079" t="s">
        <v>7</v>
      </c>
      <c r="D1079" t="s">
        <v>68</v>
      </c>
      <c r="E1079" t="s">
        <v>68</v>
      </c>
      <c r="F1079">
        <v>1.4</v>
      </c>
      <c r="G1079" t="s">
        <v>10</v>
      </c>
      <c r="J1079">
        <f>HOUR(Table1[[#This Row],[START_DATE]])</f>
        <v>16</v>
      </c>
      <c r="K1079" s="2">
        <f t="shared" si="32"/>
        <v>42724</v>
      </c>
      <c r="L1079" t="str">
        <f t="shared" si="33"/>
        <v>Tuesday</v>
      </c>
    </row>
    <row r="1080" spans="1:12" x14ac:dyDescent="0.35">
      <c r="A1080" s="1">
        <v>42724.782638888886</v>
      </c>
      <c r="B1080" s="1">
        <v>42724.806250000001</v>
      </c>
      <c r="C1080" t="s">
        <v>7</v>
      </c>
      <c r="D1080" t="s">
        <v>68</v>
      </c>
      <c r="E1080" t="s">
        <v>65</v>
      </c>
      <c r="F1080">
        <v>10.3</v>
      </c>
      <c r="G1080" t="s">
        <v>13</v>
      </c>
      <c r="J1080">
        <f>HOUR(Table1[[#This Row],[START_DATE]])</f>
        <v>18</v>
      </c>
      <c r="K1080" s="2">
        <f t="shared" si="32"/>
        <v>42724</v>
      </c>
      <c r="L1080" t="str">
        <f t="shared" si="33"/>
        <v>Tuesday</v>
      </c>
    </row>
    <row r="1081" spans="1:12" x14ac:dyDescent="0.35">
      <c r="A1081" s="1">
        <v>42725.320833333331</v>
      </c>
      <c r="B1081" s="1">
        <v>42725.340277777781</v>
      </c>
      <c r="C1081" t="s">
        <v>7</v>
      </c>
      <c r="D1081" t="s">
        <v>65</v>
      </c>
      <c r="E1081" t="s">
        <v>65</v>
      </c>
      <c r="F1081">
        <v>11.5</v>
      </c>
      <c r="G1081" t="s">
        <v>11</v>
      </c>
      <c r="J1081">
        <f>HOUR(Table1[[#This Row],[START_DATE]])</f>
        <v>7</v>
      </c>
      <c r="K1081" s="2">
        <f t="shared" si="32"/>
        <v>42725</v>
      </c>
      <c r="L1081" t="str">
        <f t="shared" si="33"/>
        <v>Wednesday</v>
      </c>
    </row>
    <row r="1082" spans="1:12" x14ac:dyDescent="0.35">
      <c r="A1082" s="1">
        <v>42725.426388888889</v>
      </c>
      <c r="B1082" s="1">
        <v>42725.4375</v>
      </c>
      <c r="C1082" t="s">
        <v>7</v>
      </c>
      <c r="D1082" t="s">
        <v>65</v>
      </c>
      <c r="E1082" t="s">
        <v>68</v>
      </c>
      <c r="F1082">
        <v>4.9000000000000004</v>
      </c>
      <c r="G1082" t="s">
        <v>10</v>
      </c>
      <c r="J1082">
        <f>HOUR(Table1[[#This Row],[START_DATE]])</f>
        <v>10</v>
      </c>
      <c r="K1082" s="2">
        <f t="shared" si="32"/>
        <v>42725</v>
      </c>
      <c r="L1082" t="str">
        <f t="shared" si="33"/>
        <v>Wednesday</v>
      </c>
    </row>
    <row r="1083" spans="1:12" x14ac:dyDescent="0.35">
      <c r="A1083" s="1">
        <v>42725.482638888891</v>
      </c>
      <c r="B1083" s="1">
        <v>42725.492361111108</v>
      </c>
      <c r="C1083" t="s">
        <v>7</v>
      </c>
      <c r="D1083" t="s">
        <v>68</v>
      </c>
      <c r="E1083" t="s">
        <v>65</v>
      </c>
      <c r="F1083">
        <v>3.5</v>
      </c>
      <c r="G1083" t="s">
        <v>9</v>
      </c>
      <c r="J1083">
        <f>HOUR(Table1[[#This Row],[START_DATE]])</f>
        <v>11</v>
      </c>
      <c r="K1083" s="2">
        <f t="shared" si="32"/>
        <v>42725</v>
      </c>
      <c r="L1083" t="str">
        <f t="shared" si="33"/>
        <v>Wednesday</v>
      </c>
    </row>
    <row r="1084" spans="1:12" x14ac:dyDescent="0.35">
      <c r="A1084" s="1">
        <v>42725.535416666666</v>
      </c>
      <c r="B1084" s="1">
        <v>42725.564583333333</v>
      </c>
      <c r="C1084" t="s">
        <v>7</v>
      </c>
      <c r="D1084" t="s">
        <v>65</v>
      </c>
      <c r="E1084" t="s">
        <v>65</v>
      </c>
      <c r="F1084">
        <v>16.2</v>
      </c>
      <c r="G1084" t="s">
        <v>11</v>
      </c>
      <c r="J1084">
        <f>HOUR(Table1[[#This Row],[START_DATE]])</f>
        <v>12</v>
      </c>
      <c r="K1084" s="2">
        <f t="shared" si="32"/>
        <v>42725</v>
      </c>
      <c r="L1084" t="str">
        <f t="shared" si="33"/>
        <v>Wednesday</v>
      </c>
    </row>
    <row r="1085" spans="1:12" x14ac:dyDescent="0.35">
      <c r="A1085" s="1">
        <v>42725.651388888888</v>
      </c>
      <c r="B1085" s="1">
        <v>42725.65902777778</v>
      </c>
      <c r="C1085" t="s">
        <v>7</v>
      </c>
      <c r="D1085" t="s">
        <v>65</v>
      </c>
      <c r="E1085" t="s">
        <v>65</v>
      </c>
      <c r="F1085">
        <v>2</v>
      </c>
      <c r="G1085" t="s">
        <v>10</v>
      </c>
      <c r="J1085">
        <f>HOUR(Table1[[#This Row],[START_DATE]])</f>
        <v>15</v>
      </c>
      <c r="K1085" s="2">
        <f t="shared" si="32"/>
        <v>42725</v>
      </c>
      <c r="L1085" t="str">
        <f t="shared" si="33"/>
        <v>Wednesday</v>
      </c>
    </row>
    <row r="1086" spans="1:12" x14ac:dyDescent="0.35">
      <c r="A1086" s="1">
        <v>42725.663194444445</v>
      </c>
      <c r="B1086" s="1">
        <v>42725.670138888891</v>
      </c>
      <c r="C1086" t="s">
        <v>7</v>
      </c>
      <c r="D1086" t="s">
        <v>65</v>
      </c>
      <c r="E1086" t="s">
        <v>68</v>
      </c>
      <c r="F1086">
        <v>2.1</v>
      </c>
      <c r="G1086" t="s">
        <v>10</v>
      </c>
      <c r="J1086">
        <f>HOUR(Table1[[#This Row],[START_DATE]])</f>
        <v>15</v>
      </c>
      <c r="K1086" s="2">
        <f t="shared" si="32"/>
        <v>42725</v>
      </c>
      <c r="L1086" t="str">
        <f t="shared" si="33"/>
        <v>Wednesday</v>
      </c>
    </row>
    <row r="1087" spans="1:12" x14ac:dyDescent="0.35">
      <c r="A1087" s="1">
        <v>42725.739583333336</v>
      </c>
      <c r="B1087" s="1">
        <v>42725.745833333334</v>
      </c>
      <c r="C1087" t="s">
        <v>7</v>
      </c>
      <c r="D1087" t="s">
        <v>68</v>
      </c>
      <c r="E1087" t="s">
        <v>68</v>
      </c>
      <c r="F1087">
        <v>2.1</v>
      </c>
      <c r="G1087" t="s">
        <v>11</v>
      </c>
      <c r="J1087">
        <f>HOUR(Table1[[#This Row],[START_DATE]])</f>
        <v>17</v>
      </c>
      <c r="K1087" s="2">
        <f t="shared" si="32"/>
        <v>42725</v>
      </c>
      <c r="L1087" t="str">
        <f t="shared" si="33"/>
        <v>Wednesday</v>
      </c>
    </row>
    <row r="1088" spans="1:12" x14ac:dyDescent="0.35">
      <c r="A1088" s="1">
        <v>42725.749305555553</v>
      </c>
      <c r="B1088" s="1">
        <v>42725.771527777775</v>
      </c>
      <c r="C1088" t="s">
        <v>7</v>
      </c>
      <c r="D1088" t="s">
        <v>68</v>
      </c>
      <c r="E1088" t="s">
        <v>65</v>
      </c>
      <c r="F1088">
        <v>7.2</v>
      </c>
      <c r="G1088" t="s">
        <v>13</v>
      </c>
      <c r="J1088">
        <f>HOUR(Table1[[#This Row],[START_DATE]])</f>
        <v>17</v>
      </c>
      <c r="K1088" s="2">
        <f t="shared" si="32"/>
        <v>42725</v>
      </c>
      <c r="L1088" t="str">
        <f t="shared" si="33"/>
        <v>Wednesday</v>
      </c>
    </row>
    <row r="1089" spans="1:12" x14ac:dyDescent="0.35">
      <c r="A1089" s="1">
        <v>42725.825694444444</v>
      </c>
      <c r="B1089" s="1">
        <v>42725.857638888891</v>
      </c>
      <c r="C1089" t="s">
        <v>7</v>
      </c>
      <c r="D1089" t="s">
        <v>65</v>
      </c>
      <c r="E1089" t="s">
        <v>223</v>
      </c>
      <c r="F1089">
        <v>12</v>
      </c>
      <c r="G1089" t="s">
        <v>11</v>
      </c>
      <c r="J1089">
        <f>HOUR(Table1[[#This Row],[START_DATE]])</f>
        <v>19</v>
      </c>
      <c r="K1089" s="2">
        <f t="shared" si="32"/>
        <v>42725</v>
      </c>
      <c r="L1089" t="str">
        <f t="shared" si="33"/>
        <v>Wednesday</v>
      </c>
    </row>
    <row r="1090" spans="1:12" x14ac:dyDescent="0.35">
      <c r="A1090" s="1">
        <v>42725.87222222222</v>
      </c>
      <c r="B1090" s="1">
        <v>42725.987500000003</v>
      </c>
      <c r="C1090" t="s">
        <v>7</v>
      </c>
      <c r="D1090" t="s">
        <v>223</v>
      </c>
      <c r="E1090" t="s">
        <v>65</v>
      </c>
      <c r="F1090">
        <v>103</v>
      </c>
      <c r="G1090" t="s">
        <v>11</v>
      </c>
      <c r="J1090">
        <f>HOUR(Table1[[#This Row],[START_DATE]])</f>
        <v>20</v>
      </c>
      <c r="K1090" s="2">
        <f t="shared" si="32"/>
        <v>42725</v>
      </c>
      <c r="L1090" t="str">
        <f t="shared" si="33"/>
        <v>Wednesday</v>
      </c>
    </row>
    <row r="1091" spans="1:12" x14ac:dyDescent="0.35">
      <c r="A1091" s="1">
        <v>42726.652777777781</v>
      </c>
      <c r="B1091" s="1">
        <v>42726.693055555559</v>
      </c>
      <c r="C1091" t="s">
        <v>7</v>
      </c>
      <c r="D1091" t="s">
        <v>65</v>
      </c>
      <c r="E1091" t="s">
        <v>65</v>
      </c>
      <c r="F1091">
        <v>32.299999999999997</v>
      </c>
      <c r="G1091" t="s">
        <v>11</v>
      </c>
      <c r="J1091">
        <f>HOUR(Table1[[#This Row],[START_DATE]])</f>
        <v>15</v>
      </c>
      <c r="K1091" s="2">
        <f t="shared" ref="K1091:K1154" si="34">DATE(YEAR(A1091), MONTH(A1091), DAY(A1091))</f>
        <v>42726</v>
      </c>
      <c r="L1091" t="str">
        <f t="shared" ref="L1091:L1154" si="35">TEXT(A1091,"dddd")</f>
        <v>Thursday</v>
      </c>
    </row>
    <row r="1092" spans="1:12" x14ac:dyDescent="0.35">
      <c r="A1092" s="1">
        <v>42726.711111111108</v>
      </c>
      <c r="B1092" s="1">
        <v>42726.722222222219</v>
      </c>
      <c r="C1092" t="s">
        <v>7</v>
      </c>
      <c r="D1092" t="s">
        <v>65</v>
      </c>
      <c r="E1092" t="s">
        <v>65</v>
      </c>
      <c r="F1092">
        <v>5.3</v>
      </c>
      <c r="G1092" t="s">
        <v>13</v>
      </c>
      <c r="J1092">
        <f>HOUR(Table1[[#This Row],[START_DATE]])</f>
        <v>17</v>
      </c>
      <c r="K1092" s="2">
        <f t="shared" si="34"/>
        <v>42726</v>
      </c>
      <c r="L1092" t="str">
        <f t="shared" si="35"/>
        <v>Thursday</v>
      </c>
    </row>
    <row r="1093" spans="1:12" x14ac:dyDescent="0.35">
      <c r="A1093" s="1">
        <v>42726.727083333331</v>
      </c>
      <c r="B1093" s="1">
        <v>42726.745138888888</v>
      </c>
      <c r="C1093" t="s">
        <v>7</v>
      </c>
      <c r="D1093" t="s">
        <v>65</v>
      </c>
      <c r="E1093" t="s">
        <v>65</v>
      </c>
      <c r="F1093">
        <v>11.6</v>
      </c>
      <c r="G1093" t="s">
        <v>11</v>
      </c>
      <c r="J1093">
        <f>HOUR(Table1[[#This Row],[START_DATE]])</f>
        <v>17</v>
      </c>
      <c r="K1093" s="2">
        <f t="shared" si="34"/>
        <v>42726</v>
      </c>
      <c r="L1093" t="str">
        <f t="shared" si="35"/>
        <v>Thursday</v>
      </c>
    </row>
    <row r="1094" spans="1:12" x14ac:dyDescent="0.35">
      <c r="A1094" s="1">
        <v>42726.74722222222</v>
      </c>
      <c r="B1094" s="1">
        <v>42726.770138888889</v>
      </c>
      <c r="C1094" t="s">
        <v>7</v>
      </c>
      <c r="D1094" t="s">
        <v>65</v>
      </c>
      <c r="E1094" t="s">
        <v>65</v>
      </c>
      <c r="F1094">
        <v>23.2</v>
      </c>
      <c r="G1094" t="s">
        <v>11</v>
      </c>
      <c r="J1094">
        <f>HOUR(Table1[[#This Row],[START_DATE]])</f>
        <v>17</v>
      </c>
      <c r="K1094" s="2">
        <f t="shared" si="34"/>
        <v>42726</v>
      </c>
      <c r="L1094" t="str">
        <f t="shared" si="35"/>
        <v>Thursday</v>
      </c>
    </row>
    <row r="1095" spans="1:12" x14ac:dyDescent="0.35">
      <c r="A1095" s="1">
        <v>42726.771527777775</v>
      </c>
      <c r="B1095" s="1">
        <v>42726.775694444441</v>
      </c>
      <c r="C1095" t="s">
        <v>7</v>
      </c>
      <c r="D1095" t="s">
        <v>65</v>
      </c>
      <c r="E1095" t="s">
        <v>65</v>
      </c>
      <c r="F1095">
        <v>3.2</v>
      </c>
      <c r="G1095" t="s">
        <v>10</v>
      </c>
      <c r="J1095">
        <f>HOUR(Table1[[#This Row],[START_DATE]])</f>
        <v>18</v>
      </c>
      <c r="K1095" s="2">
        <f t="shared" si="34"/>
        <v>42726</v>
      </c>
      <c r="L1095" t="str">
        <f t="shared" si="35"/>
        <v>Thursday</v>
      </c>
    </row>
    <row r="1096" spans="1:12" x14ac:dyDescent="0.35">
      <c r="A1096" s="1">
        <v>42726.776388888888</v>
      </c>
      <c r="B1096" s="1">
        <v>42726.782638888886</v>
      </c>
      <c r="C1096" t="s">
        <v>7</v>
      </c>
      <c r="D1096" t="s">
        <v>65</v>
      </c>
      <c r="E1096" t="s">
        <v>65</v>
      </c>
      <c r="F1096">
        <v>12.3</v>
      </c>
      <c r="G1096" t="s">
        <v>24</v>
      </c>
      <c r="J1096">
        <f>HOUR(Table1[[#This Row],[START_DATE]])</f>
        <v>18</v>
      </c>
      <c r="K1096" s="2">
        <f t="shared" si="34"/>
        <v>42726</v>
      </c>
      <c r="L1096" t="str">
        <f t="shared" si="35"/>
        <v>Thursday</v>
      </c>
    </row>
    <row r="1097" spans="1:12" x14ac:dyDescent="0.35">
      <c r="A1097" s="1">
        <v>42726.794444444444</v>
      </c>
      <c r="B1097" s="1">
        <v>42726.826388888891</v>
      </c>
      <c r="C1097" t="s">
        <v>7</v>
      </c>
      <c r="D1097" t="s">
        <v>65</v>
      </c>
      <c r="E1097" t="s">
        <v>188</v>
      </c>
      <c r="F1097">
        <v>14</v>
      </c>
      <c r="G1097" t="s">
        <v>11</v>
      </c>
      <c r="J1097">
        <f>HOUR(Table1[[#This Row],[START_DATE]])</f>
        <v>19</v>
      </c>
      <c r="K1097" s="2">
        <f t="shared" si="34"/>
        <v>42726</v>
      </c>
      <c r="L1097" t="str">
        <f t="shared" si="35"/>
        <v>Thursday</v>
      </c>
    </row>
    <row r="1098" spans="1:12" x14ac:dyDescent="0.35">
      <c r="A1098" s="1">
        <v>42726.90347222222</v>
      </c>
      <c r="B1098" s="1">
        <v>42726.911805555559</v>
      </c>
      <c r="C1098" t="s">
        <v>7</v>
      </c>
      <c r="D1098" t="s">
        <v>188</v>
      </c>
      <c r="E1098" t="s">
        <v>188</v>
      </c>
      <c r="F1098">
        <v>2.1</v>
      </c>
      <c r="G1098" t="s">
        <v>9</v>
      </c>
      <c r="J1098">
        <f>HOUR(Table1[[#This Row],[START_DATE]])</f>
        <v>21</v>
      </c>
      <c r="K1098" s="2">
        <f t="shared" si="34"/>
        <v>42726</v>
      </c>
      <c r="L1098" t="str">
        <f t="shared" si="35"/>
        <v>Thursday</v>
      </c>
    </row>
    <row r="1099" spans="1:12" x14ac:dyDescent="0.35">
      <c r="A1099" s="1">
        <v>42726.977083333331</v>
      </c>
      <c r="B1099" s="1">
        <v>42726.980555555558</v>
      </c>
      <c r="C1099" t="s">
        <v>7</v>
      </c>
      <c r="D1099" t="s">
        <v>188</v>
      </c>
      <c r="E1099" t="s">
        <v>188</v>
      </c>
      <c r="F1099">
        <v>2.1</v>
      </c>
      <c r="G1099" t="s">
        <v>13</v>
      </c>
      <c r="J1099">
        <f>HOUR(Table1[[#This Row],[START_DATE]])</f>
        <v>23</v>
      </c>
      <c r="K1099" s="2">
        <f t="shared" si="34"/>
        <v>42726</v>
      </c>
      <c r="L1099" t="str">
        <f t="shared" si="35"/>
        <v>Thursday</v>
      </c>
    </row>
    <row r="1100" spans="1:12" x14ac:dyDescent="0.35">
      <c r="A1100" s="1">
        <v>42727.38958333333</v>
      </c>
      <c r="B1100" s="1">
        <v>42727.40347222222</v>
      </c>
      <c r="C1100" t="s">
        <v>7</v>
      </c>
      <c r="D1100" t="s">
        <v>188</v>
      </c>
      <c r="E1100" t="s">
        <v>188</v>
      </c>
      <c r="F1100">
        <v>3</v>
      </c>
      <c r="G1100" t="s">
        <v>11</v>
      </c>
      <c r="J1100">
        <f>HOUR(Table1[[#This Row],[START_DATE]])</f>
        <v>9</v>
      </c>
      <c r="K1100" s="2">
        <f t="shared" si="34"/>
        <v>42727</v>
      </c>
      <c r="L1100" t="str">
        <f t="shared" si="35"/>
        <v>Friday</v>
      </c>
    </row>
    <row r="1101" spans="1:12" x14ac:dyDescent="0.35">
      <c r="A1101" s="1">
        <v>42727.481249999997</v>
      </c>
      <c r="B1101" s="1">
        <v>42727.498611111114</v>
      </c>
      <c r="C1101" t="s">
        <v>7</v>
      </c>
      <c r="D1101" t="s">
        <v>188</v>
      </c>
      <c r="E1101" t="s">
        <v>65</v>
      </c>
      <c r="F1101">
        <v>6.2</v>
      </c>
      <c r="G1101" t="s">
        <v>11</v>
      </c>
      <c r="J1101">
        <f>HOUR(Table1[[#This Row],[START_DATE]])</f>
        <v>11</v>
      </c>
      <c r="K1101" s="2">
        <f t="shared" si="34"/>
        <v>42727</v>
      </c>
      <c r="L1101" t="str">
        <f t="shared" si="35"/>
        <v>Friday</v>
      </c>
    </row>
    <row r="1102" spans="1:12" x14ac:dyDescent="0.35">
      <c r="A1102" s="1">
        <v>42727.59375</v>
      </c>
      <c r="B1102" s="1">
        <v>42727.642361111109</v>
      </c>
      <c r="C1102" t="s">
        <v>7</v>
      </c>
      <c r="D1102" t="s">
        <v>65</v>
      </c>
      <c r="E1102" t="s">
        <v>65</v>
      </c>
      <c r="F1102">
        <v>9.6</v>
      </c>
      <c r="G1102" t="s">
        <v>11</v>
      </c>
      <c r="J1102">
        <f>HOUR(Table1[[#This Row],[START_DATE]])</f>
        <v>14</v>
      </c>
      <c r="K1102" s="2">
        <f t="shared" si="34"/>
        <v>42727</v>
      </c>
      <c r="L1102" t="str">
        <f t="shared" si="35"/>
        <v>Friday</v>
      </c>
    </row>
    <row r="1103" spans="1:12" x14ac:dyDescent="0.35">
      <c r="A1103" s="1">
        <v>42727.682638888888</v>
      </c>
      <c r="B1103" s="1">
        <v>42727.69027777778</v>
      </c>
      <c r="C1103" t="s">
        <v>7</v>
      </c>
      <c r="D1103" t="s">
        <v>65</v>
      </c>
      <c r="E1103" t="s">
        <v>65</v>
      </c>
      <c r="F1103">
        <v>1.3</v>
      </c>
      <c r="G1103" t="s">
        <v>10</v>
      </c>
      <c r="J1103">
        <f>HOUR(Table1[[#This Row],[START_DATE]])</f>
        <v>16</v>
      </c>
      <c r="K1103" s="2">
        <f t="shared" si="34"/>
        <v>42727</v>
      </c>
      <c r="L1103" t="str">
        <f t="shared" si="35"/>
        <v>Friday</v>
      </c>
    </row>
    <row r="1104" spans="1:12" x14ac:dyDescent="0.35">
      <c r="A1104" s="1">
        <v>42727.731944444444</v>
      </c>
      <c r="B1104" s="1">
        <v>42727.768750000003</v>
      </c>
      <c r="C1104" t="s">
        <v>7</v>
      </c>
      <c r="D1104" t="s">
        <v>65</v>
      </c>
      <c r="E1104" t="s">
        <v>188</v>
      </c>
      <c r="F1104">
        <v>7.1</v>
      </c>
      <c r="G1104" t="s">
        <v>9</v>
      </c>
      <c r="J1104">
        <f>HOUR(Table1[[#This Row],[START_DATE]])</f>
        <v>17</v>
      </c>
      <c r="K1104" s="2">
        <f t="shared" si="34"/>
        <v>42727</v>
      </c>
      <c r="L1104" t="str">
        <f t="shared" si="35"/>
        <v>Friday</v>
      </c>
    </row>
    <row r="1105" spans="1:12" x14ac:dyDescent="0.35">
      <c r="A1105" s="1">
        <v>42728.321527777778</v>
      </c>
      <c r="B1105" s="1">
        <v>42728.336111111108</v>
      </c>
      <c r="C1105" t="s">
        <v>7</v>
      </c>
      <c r="D1105" t="s">
        <v>188</v>
      </c>
      <c r="E1105" t="s">
        <v>65</v>
      </c>
      <c r="F1105">
        <v>6.3</v>
      </c>
      <c r="G1105" t="s">
        <v>9</v>
      </c>
      <c r="J1105">
        <f>HOUR(Table1[[#This Row],[START_DATE]])</f>
        <v>7</v>
      </c>
      <c r="K1105" s="2">
        <f t="shared" si="34"/>
        <v>42728</v>
      </c>
      <c r="L1105" t="str">
        <f t="shared" si="35"/>
        <v>Saturday</v>
      </c>
    </row>
    <row r="1106" spans="1:12" x14ac:dyDescent="0.35">
      <c r="A1106" s="1">
        <v>42728.388194444444</v>
      </c>
      <c r="B1106" s="1">
        <v>42728.413194444445</v>
      </c>
      <c r="C1106" t="s">
        <v>7</v>
      </c>
      <c r="D1106" t="s">
        <v>65</v>
      </c>
      <c r="E1106" t="s">
        <v>188</v>
      </c>
      <c r="F1106">
        <v>10.7</v>
      </c>
      <c r="G1106" t="s">
        <v>9</v>
      </c>
      <c r="J1106">
        <f>HOUR(Table1[[#This Row],[START_DATE]])</f>
        <v>9</v>
      </c>
      <c r="K1106" s="2">
        <f t="shared" si="34"/>
        <v>42728</v>
      </c>
      <c r="L1106" t="str">
        <f t="shared" si="35"/>
        <v>Saturday</v>
      </c>
    </row>
    <row r="1107" spans="1:12" x14ac:dyDescent="0.35">
      <c r="A1107" s="1">
        <v>42728.44027777778</v>
      </c>
      <c r="B1107" s="1">
        <v>42728.453472222223</v>
      </c>
      <c r="C1107" t="s">
        <v>7</v>
      </c>
      <c r="D1107" t="s">
        <v>188</v>
      </c>
      <c r="E1107" t="s">
        <v>188</v>
      </c>
      <c r="F1107">
        <v>5.3</v>
      </c>
      <c r="G1107" t="s">
        <v>9</v>
      </c>
      <c r="J1107">
        <f>HOUR(Table1[[#This Row],[START_DATE]])</f>
        <v>10</v>
      </c>
      <c r="K1107" s="2">
        <f t="shared" si="34"/>
        <v>42728</v>
      </c>
      <c r="L1107" t="str">
        <f t="shared" si="35"/>
        <v>Saturday</v>
      </c>
    </row>
    <row r="1108" spans="1:12" x14ac:dyDescent="0.35">
      <c r="A1108" s="1">
        <v>42728.535416666666</v>
      </c>
      <c r="B1108" s="1">
        <v>42728.536805555559</v>
      </c>
      <c r="C1108" t="s">
        <v>7</v>
      </c>
      <c r="D1108" t="s">
        <v>188</v>
      </c>
      <c r="E1108" t="s">
        <v>188</v>
      </c>
      <c r="F1108">
        <v>1.6</v>
      </c>
      <c r="G1108" t="s">
        <v>10</v>
      </c>
      <c r="J1108">
        <f>HOUR(Table1[[#This Row],[START_DATE]])</f>
        <v>12</v>
      </c>
      <c r="K1108" s="2">
        <f t="shared" si="34"/>
        <v>42728</v>
      </c>
      <c r="L1108" t="str">
        <f t="shared" si="35"/>
        <v>Saturday</v>
      </c>
    </row>
    <row r="1109" spans="1:12" x14ac:dyDescent="0.35">
      <c r="A1109" s="1">
        <v>42728.547222222223</v>
      </c>
      <c r="B1109" s="1">
        <v>42728.561805555553</v>
      </c>
      <c r="C1109" t="s">
        <v>7</v>
      </c>
      <c r="D1109" t="s">
        <v>188</v>
      </c>
      <c r="E1109" t="s">
        <v>188</v>
      </c>
      <c r="F1109">
        <v>3.6</v>
      </c>
      <c r="G1109" t="s">
        <v>10</v>
      </c>
      <c r="J1109">
        <f>HOUR(Table1[[#This Row],[START_DATE]])</f>
        <v>13</v>
      </c>
      <c r="K1109" s="2">
        <f t="shared" si="34"/>
        <v>42728</v>
      </c>
      <c r="L1109" t="str">
        <f t="shared" si="35"/>
        <v>Saturday</v>
      </c>
    </row>
    <row r="1110" spans="1:12" x14ac:dyDescent="0.35">
      <c r="A1110" s="1">
        <v>42728.716666666667</v>
      </c>
      <c r="B1110" s="1">
        <v>42728.727083333331</v>
      </c>
      <c r="C1110" t="s">
        <v>7</v>
      </c>
      <c r="D1110" t="s">
        <v>188</v>
      </c>
      <c r="E1110" t="s">
        <v>188</v>
      </c>
      <c r="F1110">
        <v>1.7</v>
      </c>
      <c r="G1110" t="s">
        <v>10</v>
      </c>
      <c r="J1110">
        <f>HOUR(Table1[[#This Row],[START_DATE]])</f>
        <v>17</v>
      </c>
      <c r="K1110" s="2">
        <f t="shared" si="34"/>
        <v>42728</v>
      </c>
      <c r="L1110" t="str">
        <f t="shared" si="35"/>
        <v>Saturday</v>
      </c>
    </row>
    <row r="1111" spans="1:12" x14ac:dyDescent="0.35">
      <c r="A1111" s="1">
        <v>42728.800000000003</v>
      </c>
      <c r="B1111" s="1">
        <v>42728.810416666667</v>
      </c>
      <c r="C1111" t="s">
        <v>7</v>
      </c>
      <c r="D1111" t="s">
        <v>188</v>
      </c>
      <c r="E1111" t="s">
        <v>188</v>
      </c>
      <c r="F1111">
        <v>2.9</v>
      </c>
      <c r="G1111" t="s">
        <v>9</v>
      </c>
      <c r="J1111">
        <f>HOUR(Table1[[#This Row],[START_DATE]])</f>
        <v>19</v>
      </c>
      <c r="K1111" s="2">
        <f t="shared" si="34"/>
        <v>42728</v>
      </c>
      <c r="L1111" t="str">
        <f t="shared" si="35"/>
        <v>Saturday</v>
      </c>
    </row>
    <row r="1112" spans="1:12" x14ac:dyDescent="0.35">
      <c r="A1112" s="1">
        <v>42728.919444444444</v>
      </c>
      <c r="B1112" s="1">
        <v>42728.92291666667</v>
      </c>
      <c r="C1112" t="s">
        <v>7</v>
      </c>
      <c r="D1112" t="s">
        <v>188</v>
      </c>
      <c r="E1112" t="s">
        <v>188</v>
      </c>
      <c r="F1112">
        <v>0.6</v>
      </c>
      <c r="G1112" t="s">
        <v>10</v>
      </c>
      <c r="J1112">
        <f>HOUR(Table1[[#This Row],[START_DATE]])</f>
        <v>22</v>
      </c>
      <c r="K1112" s="2">
        <f t="shared" si="34"/>
        <v>42728</v>
      </c>
      <c r="L1112" t="str">
        <f t="shared" si="35"/>
        <v>Saturday</v>
      </c>
    </row>
    <row r="1113" spans="1:12" x14ac:dyDescent="0.35">
      <c r="A1113" s="1">
        <v>42729.006944444445</v>
      </c>
      <c r="B1113" s="1">
        <v>42729.009722222225</v>
      </c>
      <c r="C1113" t="s">
        <v>7</v>
      </c>
      <c r="D1113" t="s">
        <v>188</v>
      </c>
      <c r="E1113" t="s">
        <v>188</v>
      </c>
      <c r="F1113">
        <v>0.6</v>
      </c>
      <c r="G1113" t="s">
        <v>10</v>
      </c>
      <c r="J1113">
        <f>HOUR(Table1[[#This Row],[START_DATE]])</f>
        <v>0</v>
      </c>
      <c r="K1113" s="2">
        <f t="shared" si="34"/>
        <v>42729</v>
      </c>
      <c r="L1113" t="str">
        <f t="shared" si="35"/>
        <v>Sunday</v>
      </c>
    </row>
    <row r="1114" spans="1:12" x14ac:dyDescent="0.35">
      <c r="A1114" s="1">
        <v>42729.802083333336</v>
      </c>
      <c r="B1114" s="1">
        <v>42729.80972222222</v>
      </c>
      <c r="C1114" t="s">
        <v>7</v>
      </c>
      <c r="D1114" t="s">
        <v>188</v>
      </c>
      <c r="E1114" t="s">
        <v>188</v>
      </c>
      <c r="F1114">
        <v>2.2999999999999998</v>
      </c>
      <c r="G1114" t="s">
        <v>9</v>
      </c>
      <c r="J1114">
        <f>HOUR(Table1[[#This Row],[START_DATE]])</f>
        <v>19</v>
      </c>
      <c r="K1114" s="2">
        <f t="shared" si="34"/>
        <v>42729</v>
      </c>
      <c r="L1114" t="str">
        <f t="shared" si="35"/>
        <v>Sunday</v>
      </c>
    </row>
    <row r="1115" spans="1:12" x14ac:dyDescent="0.35">
      <c r="A1115" s="1">
        <v>42729.915277777778</v>
      </c>
      <c r="B1115" s="1">
        <v>42729.919444444444</v>
      </c>
      <c r="C1115" t="s">
        <v>7</v>
      </c>
      <c r="D1115" t="s">
        <v>188</v>
      </c>
      <c r="E1115" t="s">
        <v>188</v>
      </c>
      <c r="F1115">
        <v>2.2999999999999998</v>
      </c>
      <c r="G1115" t="s">
        <v>9</v>
      </c>
      <c r="J1115">
        <f>HOUR(Table1[[#This Row],[START_DATE]])</f>
        <v>21</v>
      </c>
      <c r="K1115" s="2">
        <f t="shared" si="34"/>
        <v>42729</v>
      </c>
      <c r="L1115" t="str">
        <f t="shared" si="35"/>
        <v>Sunday</v>
      </c>
    </row>
    <row r="1116" spans="1:12" x14ac:dyDescent="0.35">
      <c r="A1116" s="1">
        <v>42730.354166666664</v>
      </c>
      <c r="B1116" s="1">
        <v>42730.361805555556</v>
      </c>
      <c r="C1116" t="s">
        <v>7</v>
      </c>
      <c r="D1116" t="s">
        <v>188</v>
      </c>
      <c r="E1116" t="s">
        <v>188</v>
      </c>
      <c r="F1116">
        <v>3.2</v>
      </c>
      <c r="G1116" t="s">
        <v>9</v>
      </c>
      <c r="J1116">
        <f>HOUR(Table1[[#This Row],[START_DATE]])</f>
        <v>8</v>
      </c>
      <c r="K1116" s="2">
        <f t="shared" si="34"/>
        <v>42730</v>
      </c>
      <c r="L1116" t="str">
        <f t="shared" si="35"/>
        <v>Monday</v>
      </c>
    </row>
    <row r="1117" spans="1:12" x14ac:dyDescent="0.35">
      <c r="A1117" s="1">
        <v>42730.378472222219</v>
      </c>
      <c r="B1117" s="1">
        <v>42730.388194444444</v>
      </c>
      <c r="C1117" t="s">
        <v>7</v>
      </c>
      <c r="D1117" t="s">
        <v>188</v>
      </c>
      <c r="E1117" t="s">
        <v>188</v>
      </c>
      <c r="F1117">
        <v>6.2</v>
      </c>
      <c r="G1117" t="s">
        <v>13</v>
      </c>
      <c r="J1117">
        <f>HOUR(Table1[[#This Row],[START_DATE]])</f>
        <v>9</v>
      </c>
      <c r="K1117" s="2">
        <f t="shared" si="34"/>
        <v>42730</v>
      </c>
      <c r="L1117" t="str">
        <f t="shared" si="35"/>
        <v>Monday</v>
      </c>
    </row>
    <row r="1118" spans="1:12" x14ac:dyDescent="0.35">
      <c r="A1118" s="1">
        <v>42730.427083333336</v>
      </c>
      <c r="B1118" s="1">
        <v>42730.441666666666</v>
      </c>
      <c r="C1118" t="s">
        <v>7</v>
      </c>
      <c r="D1118" t="s">
        <v>188</v>
      </c>
      <c r="E1118" t="s">
        <v>188</v>
      </c>
      <c r="F1118">
        <v>7.7</v>
      </c>
      <c r="G1118" t="s">
        <v>13</v>
      </c>
      <c r="J1118">
        <f>HOUR(Table1[[#This Row],[START_DATE]])</f>
        <v>10</v>
      </c>
      <c r="K1118" s="2">
        <f t="shared" si="34"/>
        <v>42730</v>
      </c>
      <c r="L1118" t="str">
        <f t="shared" si="35"/>
        <v>Monday</v>
      </c>
    </row>
    <row r="1119" spans="1:12" x14ac:dyDescent="0.35">
      <c r="A1119" s="1">
        <v>42730.478472222225</v>
      </c>
      <c r="B1119" s="1">
        <v>42730.487500000003</v>
      </c>
      <c r="C1119" t="s">
        <v>7</v>
      </c>
      <c r="D1119" t="s">
        <v>188</v>
      </c>
      <c r="E1119" t="s">
        <v>188</v>
      </c>
      <c r="F1119">
        <v>3.8</v>
      </c>
      <c r="G1119" t="s">
        <v>13</v>
      </c>
      <c r="J1119">
        <f>HOUR(Table1[[#This Row],[START_DATE]])</f>
        <v>11</v>
      </c>
      <c r="K1119" s="2">
        <f t="shared" si="34"/>
        <v>42730</v>
      </c>
      <c r="L1119" t="str">
        <f t="shared" si="35"/>
        <v>Monday</v>
      </c>
    </row>
    <row r="1120" spans="1:12" x14ac:dyDescent="0.35">
      <c r="A1120" s="1">
        <v>42730.54791666667</v>
      </c>
      <c r="B1120" s="1">
        <v>42730.571527777778</v>
      </c>
      <c r="C1120" t="s">
        <v>7</v>
      </c>
      <c r="D1120" t="s">
        <v>188</v>
      </c>
      <c r="E1120" t="s">
        <v>65</v>
      </c>
      <c r="F1120">
        <v>7.9</v>
      </c>
      <c r="G1120" t="s">
        <v>11</v>
      </c>
      <c r="J1120">
        <f>HOUR(Table1[[#This Row],[START_DATE]])</f>
        <v>13</v>
      </c>
      <c r="K1120" s="2">
        <f t="shared" si="34"/>
        <v>42730</v>
      </c>
      <c r="L1120" t="str">
        <f t="shared" si="35"/>
        <v>Monday</v>
      </c>
    </row>
    <row r="1121" spans="1:12" x14ac:dyDescent="0.35">
      <c r="A1121" s="1">
        <v>42731.293055555558</v>
      </c>
      <c r="B1121" s="1">
        <v>42731.301388888889</v>
      </c>
      <c r="C1121" t="s">
        <v>7</v>
      </c>
      <c r="D1121" t="s">
        <v>224</v>
      </c>
      <c r="E1121" t="s">
        <v>224</v>
      </c>
      <c r="F1121">
        <v>4.9000000000000004</v>
      </c>
      <c r="G1121" t="s">
        <v>24</v>
      </c>
      <c r="J1121">
        <f>HOUR(Table1[[#This Row],[START_DATE]])</f>
        <v>7</v>
      </c>
      <c r="K1121" s="2">
        <f t="shared" si="34"/>
        <v>42731</v>
      </c>
      <c r="L1121" t="str">
        <f t="shared" si="35"/>
        <v>Tuesday</v>
      </c>
    </row>
    <row r="1122" spans="1:12" x14ac:dyDescent="0.35">
      <c r="A1122" s="1">
        <v>42731.359027777777</v>
      </c>
      <c r="B1122" s="1">
        <v>42731.374305555553</v>
      </c>
      <c r="C1122" t="s">
        <v>7</v>
      </c>
      <c r="D1122" t="s">
        <v>224</v>
      </c>
      <c r="E1122" t="s">
        <v>224</v>
      </c>
      <c r="F1122">
        <v>5</v>
      </c>
      <c r="G1122" t="s">
        <v>9</v>
      </c>
      <c r="J1122">
        <f>HOUR(Table1[[#This Row],[START_DATE]])</f>
        <v>8</v>
      </c>
      <c r="K1122" s="2">
        <f t="shared" si="34"/>
        <v>42731</v>
      </c>
      <c r="L1122" t="str">
        <f t="shared" si="35"/>
        <v>Tuesday</v>
      </c>
    </row>
    <row r="1123" spans="1:12" x14ac:dyDescent="0.35">
      <c r="A1123" s="1">
        <v>42731.536805555559</v>
      </c>
      <c r="B1123" s="1">
        <v>42731.539583333331</v>
      </c>
      <c r="C1123" t="s">
        <v>7</v>
      </c>
      <c r="D1123" t="s">
        <v>224</v>
      </c>
      <c r="E1123" t="s">
        <v>224</v>
      </c>
      <c r="F1123">
        <v>0.6</v>
      </c>
      <c r="G1123" t="s">
        <v>9</v>
      </c>
      <c r="J1123">
        <f>HOUR(Table1[[#This Row],[START_DATE]])</f>
        <v>12</v>
      </c>
      <c r="K1123" s="2">
        <f t="shared" si="34"/>
        <v>42731</v>
      </c>
      <c r="L1123" t="str">
        <f t="shared" si="35"/>
        <v>Tuesday</v>
      </c>
    </row>
    <row r="1124" spans="1:12" x14ac:dyDescent="0.35">
      <c r="A1124" s="1">
        <v>42731.617361111108</v>
      </c>
      <c r="B1124" s="1">
        <v>42731.627083333333</v>
      </c>
      <c r="C1124" t="s">
        <v>7</v>
      </c>
      <c r="D1124" t="s">
        <v>224</v>
      </c>
      <c r="E1124" t="s">
        <v>65</v>
      </c>
      <c r="F1124">
        <v>3.1</v>
      </c>
      <c r="G1124" t="s">
        <v>13</v>
      </c>
      <c r="J1124">
        <f>HOUR(Table1[[#This Row],[START_DATE]])</f>
        <v>14</v>
      </c>
      <c r="K1124" s="2">
        <f t="shared" si="34"/>
        <v>42731</v>
      </c>
      <c r="L1124" t="str">
        <f t="shared" si="35"/>
        <v>Tuesday</v>
      </c>
    </row>
    <row r="1125" spans="1:12" x14ac:dyDescent="0.35">
      <c r="A1125" s="1">
        <v>42731.69027777778</v>
      </c>
      <c r="B1125" s="1">
        <v>42731.706944444442</v>
      </c>
      <c r="C1125" t="s">
        <v>7</v>
      </c>
      <c r="D1125" t="s">
        <v>65</v>
      </c>
      <c r="E1125" t="s">
        <v>224</v>
      </c>
      <c r="F1125">
        <v>7.9</v>
      </c>
      <c r="G1125" t="s">
        <v>11</v>
      </c>
      <c r="J1125">
        <f>HOUR(Table1[[#This Row],[START_DATE]])</f>
        <v>16</v>
      </c>
      <c r="K1125" s="2">
        <f t="shared" si="34"/>
        <v>42731</v>
      </c>
      <c r="L1125" t="str">
        <f t="shared" si="35"/>
        <v>Tuesday</v>
      </c>
    </row>
    <row r="1126" spans="1:12" x14ac:dyDescent="0.35">
      <c r="A1126" s="1">
        <v>42731.804861111108</v>
      </c>
      <c r="B1126" s="1">
        <v>42731.826388888891</v>
      </c>
      <c r="C1126" t="s">
        <v>7</v>
      </c>
      <c r="D1126" t="s">
        <v>224</v>
      </c>
      <c r="E1126" t="s">
        <v>224</v>
      </c>
      <c r="F1126">
        <v>5.5</v>
      </c>
      <c r="G1126" t="s">
        <v>13</v>
      </c>
      <c r="J1126">
        <f>HOUR(Table1[[#This Row],[START_DATE]])</f>
        <v>19</v>
      </c>
      <c r="K1126" s="2">
        <f t="shared" si="34"/>
        <v>42731</v>
      </c>
      <c r="L1126" t="str">
        <f t="shared" si="35"/>
        <v>Tuesday</v>
      </c>
    </row>
    <row r="1127" spans="1:12" x14ac:dyDescent="0.35">
      <c r="A1127" s="1">
        <v>42732.356944444444</v>
      </c>
      <c r="B1127" s="1">
        <v>42732.379166666666</v>
      </c>
      <c r="C1127" t="s">
        <v>7</v>
      </c>
      <c r="D1127" t="s">
        <v>224</v>
      </c>
      <c r="E1127" t="s">
        <v>65</v>
      </c>
      <c r="F1127">
        <v>10.3</v>
      </c>
      <c r="G1127" t="s">
        <v>9</v>
      </c>
      <c r="J1127">
        <f>HOUR(Table1[[#This Row],[START_DATE]])</f>
        <v>8</v>
      </c>
      <c r="K1127" s="2">
        <f t="shared" si="34"/>
        <v>42732</v>
      </c>
      <c r="L1127" t="str">
        <f t="shared" si="35"/>
        <v>Wednesday</v>
      </c>
    </row>
    <row r="1128" spans="1:12" x14ac:dyDescent="0.35">
      <c r="A1128" s="1">
        <v>42732.487500000003</v>
      </c>
      <c r="B1128" s="1">
        <v>42732.508333333331</v>
      </c>
      <c r="C1128" t="s">
        <v>7</v>
      </c>
      <c r="D1128" t="s">
        <v>65</v>
      </c>
      <c r="E1128" t="s">
        <v>224</v>
      </c>
      <c r="F1128">
        <v>10.4</v>
      </c>
      <c r="G1128" t="s">
        <v>10</v>
      </c>
      <c r="J1128">
        <f>HOUR(Table1[[#This Row],[START_DATE]])</f>
        <v>11</v>
      </c>
      <c r="K1128" s="2">
        <f t="shared" si="34"/>
        <v>42732</v>
      </c>
      <c r="L1128" t="str">
        <f t="shared" si="35"/>
        <v>Wednesday</v>
      </c>
    </row>
    <row r="1129" spans="1:12" x14ac:dyDescent="0.35">
      <c r="A1129" s="1">
        <v>42732.578472222223</v>
      </c>
      <c r="B1129" s="1">
        <v>42732.584027777775</v>
      </c>
      <c r="C1129" t="s">
        <v>7</v>
      </c>
      <c r="D1129" t="s">
        <v>224</v>
      </c>
      <c r="E1129" t="s">
        <v>224</v>
      </c>
      <c r="F1129">
        <v>2</v>
      </c>
      <c r="G1129" t="s">
        <v>10</v>
      </c>
      <c r="J1129">
        <f>HOUR(Table1[[#This Row],[START_DATE]])</f>
        <v>13</v>
      </c>
      <c r="K1129" s="2">
        <f t="shared" si="34"/>
        <v>42732</v>
      </c>
      <c r="L1129" t="str">
        <f t="shared" si="35"/>
        <v>Wednesday</v>
      </c>
    </row>
    <row r="1130" spans="1:12" x14ac:dyDescent="0.35">
      <c r="A1130" s="1">
        <v>42732.62777777778</v>
      </c>
      <c r="B1130" s="1">
        <v>42732.652083333334</v>
      </c>
      <c r="C1130" t="s">
        <v>7</v>
      </c>
      <c r="D1130" t="s">
        <v>224</v>
      </c>
      <c r="E1130" t="s">
        <v>65</v>
      </c>
      <c r="F1130">
        <v>8.5</v>
      </c>
      <c r="G1130" t="s">
        <v>9</v>
      </c>
      <c r="J1130">
        <f>HOUR(Table1[[#This Row],[START_DATE]])</f>
        <v>15</v>
      </c>
      <c r="K1130" s="2">
        <f t="shared" si="34"/>
        <v>42732</v>
      </c>
      <c r="L1130" t="str">
        <f t="shared" si="35"/>
        <v>Wednesday</v>
      </c>
    </row>
    <row r="1131" spans="1:12" x14ac:dyDescent="0.35">
      <c r="A1131" s="1">
        <v>42732.709722222222</v>
      </c>
      <c r="B1131" s="1">
        <v>42732.719444444447</v>
      </c>
      <c r="C1131" t="s">
        <v>7</v>
      </c>
      <c r="D1131" t="s">
        <v>65</v>
      </c>
      <c r="E1131" t="s">
        <v>224</v>
      </c>
      <c r="F1131">
        <v>4.4000000000000004</v>
      </c>
      <c r="G1131" t="s">
        <v>10</v>
      </c>
      <c r="J1131">
        <f>HOUR(Table1[[#This Row],[START_DATE]])</f>
        <v>17</v>
      </c>
      <c r="K1131" s="2">
        <f t="shared" si="34"/>
        <v>42732</v>
      </c>
      <c r="L1131" t="str">
        <f t="shared" si="35"/>
        <v>Wednesday</v>
      </c>
    </row>
    <row r="1132" spans="1:12" x14ac:dyDescent="0.35">
      <c r="A1132" s="1">
        <v>42732.772916666669</v>
      </c>
      <c r="B1132" s="1">
        <v>42732.788888888892</v>
      </c>
      <c r="C1132" t="s">
        <v>7</v>
      </c>
      <c r="D1132" t="s">
        <v>224</v>
      </c>
      <c r="E1132" t="s">
        <v>224</v>
      </c>
      <c r="F1132">
        <v>3.8</v>
      </c>
      <c r="G1132" t="s">
        <v>10</v>
      </c>
      <c r="J1132">
        <f>HOUR(Table1[[#This Row],[START_DATE]])</f>
        <v>18</v>
      </c>
      <c r="K1132" s="2">
        <f t="shared" si="34"/>
        <v>42732</v>
      </c>
      <c r="L1132" t="str">
        <f t="shared" si="35"/>
        <v>Wednesday</v>
      </c>
    </row>
    <row r="1133" spans="1:12" x14ac:dyDescent="0.35">
      <c r="A1133" s="1">
        <v>42732.947222222225</v>
      </c>
      <c r="B1133" s="1">
        <v>42732.970833333333</v>
      </c>
      <c r="C1133" t="s">
        <v>7</v>
      </c>
      <c r="D1133" t="s">
        <v>224</v>
      </c>
      <c r="E1133" t="s">
        <v>224</v>
      </c>
      <c r="F1133">
        <v>5.0999999999999996</v>
      </c>
      <c r="G1133" t="s">
        <v>10</v>
      </c>
      <c r="J1133">
        <f>HOUR(Table1[[#This Row],[START_DATE]])</f>
        <v>22</v>
      </c>
      <c r="K1133" s="2">
        <f t="shared" si="34"/>
        <v>42732</v>
      </c>
      <c r="L1133" t="str">
        <f t="shared" si="35"/>
        <v>Wednesday</v>
      </c>
    </row>
    <row r="1134" spans="1:12" x14ac:dyDescent="0.35">
      <c r="A1134" s="1">
        <v>42733.03402777778</v>
      </c>
      <c r="B1134" s="1">
        <v>42733.04583333333</v>
      </c>
      <c r="C1134" t="s">
        <v>7</v>
      </c>
      <c r="D1134" t="s">
        <v>224</v>
      </c>
      <c r="E1134" t="s">
        <v>224</v>
      </c>
      <c r="F1134">
        <v>3.8</v>
      </c>
      <c r="G1134" t="s">
        <v>10</v>
      </c>
      <c r="J1134">
        <f>HOUR(Table1[[#This Row],[START_DATE]])</f>
        <v>0</v>
      </c>
      <c r="K1134" s="2">
        <f t="shared" si="34"/>
        <v>42733</v>
      </c>
      <c r="L1134" t="str">
        <f t="shared" si="35"/>
        <v>Thursday</v>
      </c>
    </row>
    <row r="1135" spans="1:12" x14ac:dyDescent="0.35">
      <c r="A1135" s="1">
        <v>42733.405555555553</v>
      </c>
      <c r="B1135" s="1">
        <v>42733.421527777777</v>
      </c>
      <c r="C1135" t="s">
        <v>7</v>
      </c>
      <c r="D1135" t="s">
        <v>224</v>
      </c>
      <c r="E1135" t="s">
        <v>65</v>
      </c>
      <c r="F1135">
        <v>11.6</v>
      </c>
      <c r="G1135" t="s">
        <v>9</v>
      </c>
      <c r="J1135">
        <f>HOUR(Table1[[#This Row],[START_DATE]])</f>
        <v>9</v>
      </c>
      <c r="K1135" s="2">
        <f t="shared" si="34"/>
        <v>42733</v>
      </c>
      <c r="L1135" t="str">
        <f t="shared" si="35"/>
        <v>Thursday</v>
      </c>
    </row>
    <row r="1136" spans="1:12" x14ac:dyDescent="0.35">
      <c r="A1136" s="1">
        <v>42733.477777777778</v>
      </c>
      <c r="B1136" s="1">
        <v>42733.5</v>
      </c>
      <c r="C1136" t="s">
        <v>7</v>
      </c>
      <c r="D1136" t="s">
        <v>65</v>
      </c>
      <c r="E1136" t="s">
        <v>224</v>
      </c>
      <c r="F1136">
        <v>11.9</v>
      </c>
      <c r="G1136" t="s">
        <v>9</v>
      </c>
      <c r="J1136">
        <f>HOUR(Table1[[#This Row],[START_DATE]])</f>
        <v>11</v>
      </c>
      <c r="K1136" s="2">
        <f t="shared" si="34"/>
        <v>42733</v>
      </c>
      <c r="L1136" t="str">
        <f t="shared" si="35"/>
        <v>Thursday</v>
      </c>
    </row>
    <row r="1137" spans="1:12" x14ac:dyDescent="0.35">
      <c r="A1137" s="1">
        <v>42733.517361111109</v>
      </c>
      <c r="B1137" s="1">
        <v>42733.522916666669</v>
      </c>
      <c r="C1137" t="s">
        <v>7</v>
      </c>
      <c r="D1137" t="s">
        <v>224</v>
      </c>
      <c r="E1137" t="s">
        <v>224</v>
      </c>
      <c r="F1137">
        <v>1.4</v>
      </c>
      <c r="G1137" t="s">
        <v>10</v>
      </c>
      <c r="J1137">
        <f>HOUR(Table1[[#This Row],[START_DATE]])</f>
        <v>12</v>
      </c>
      <c r="K1137" s="2">
        <f t="shared" si="34"/>
        <v>42733</v>
      </c>
      <c r="L1137" t="str">
        <f t="shared" si="35"/>
        <v>Thursday</v>
      </c>
    </row>
    <row r="1138" spans="1:12" x14ac:dyDescent="0.35">
      <c r="A1138" s="1">
        <v>42733.553472222222</v>
      </c>
      <c r="B1138" s="1">
        <v>42733.558333333334</v>
      </c>
      <c r="C1138" t="s">
        <v>7</v>
      </c>
      <c r="D1138" t="s">
        <v>224</v>
      </c>
      <c r="E1138" t="s">
        <v>224</v>
      </c>
      <c r="F1138">
        <v>1.1000000000000001</v>
      </c>
      <c r="G1138" t="s">
        <v>10</v>
      </c>
      <c r="J1138">
        <f>HOUR(Table1[[#This Row],[START_DATE]])</f>
        <v>13</v>
      </c>
      <c r="K1138" s="2">
        <f t="shared" si="34"/>
        <v>42733</v>
      </c>
      <c r="L1138" t="str">
        <f t="shared" si="35"/>
        <v>Thursday</v>
      </c>
    </row>
    <row r="1139" spans="1:12" x14ac:dyDescent="0.35">
      <c r="A1139" s="1">
        <v>42733.580555555556</v>
      </c>
      <c r="B1139" s="1">
        <v>42733.59097222222</v>
      </c>
      <c r="C1139" t="s">
        <v>7</v>
      </c>
      <c r="D1139" t="s">
        <v>224</v>
      </c>
      <c r="E1139" t="s">
        <v>224</v>
      </c>
      <c r="F1139">
        <v>4.0999999999999996</v>
      </c>
      <c r="G1139" t="s">
        <v>187</v>
      </c>
      <c r="J1139">
        <f>HOUR(Table1[[#This Row],[START_DATE]])</f>
        <v>13</v>
      </c>
      <c r="K1139" s="2">
        <f t="shared" si="34"/>
        <v>42733</v>
      </c>
      <c r="L1139" t="str">
        <f t="shared" si="35"/>
        <v>Thursday</v>
      </c>
    </row>
    <row r="1140" spans="1:12" x14ac:dyDescent="0.35">
      <c r="A1140" s="1">
        <v>42733.612500000003</v>
      </c>
      <c r="B1140" s="1">
        <v>42733.623611111114</v>
      </c>
      <c r="C1140" t="s">
        <v>7</v>
      </c>
      <c r="D1140" t="s">
        <v>224</v>
      </c>
      <c r="E1140" t="s">
        <v>224</v>
      </c>
      <c r="F1140">
        <v>6.1</v>
      </c>
      <c r="G1140" t="s">
        <v>53</v>
      </c>
      <c r="J1140">
        <f>HOUR(Table1[[#This Row],[START_DATE]])</f>
        <v>14</v>
      </c>
      <c r="K1140" s="2">
        <f t="shared" si="34"/>
        <v>42733</v>
      </c>
      <c r="L1140" t="str">
        <f t="shared" si="35"/>
        <v>Thursday</v>
      </c>
    </row>
    <row r="1141" spans="1:12" x14ac:dyDescent="0.35">
      <c r="A1141" s="1">
        <v>42733.628472222219</v>
      </c>
      <c r="B1141" s="1">
        <v>42733.636111111111</v>
      </c>
      <c r="C1141" t="s">
        <v>7</v>
      </c>
      <c r="D1141" t="s">
        <v>224</v>
      </c>
      <c r="E1141" t="s">
        <v>224</v>
      </c>
      <c r="F1141">
        <v>1.3</v>
      </c>
      <c r="G1141" t="s">
        <v>10</v>
      </c>
      <c r="J1141">
        <f>HOUR(Table1[[#This Row],[START_DATE]])</f>
        <v>15</v>
      </c>
      <c r="K1141" s="2">
        <f t="shared" si="34"/>
        <v>42733</v>
      </c>
      <c r="L1141" t="str">
        <f t="shared" si="35"/>
        <v>Thursday</v>
      </c>
    </row>
    <row r="1142" spans="1:12" x14ac:dyDescent="0.35">
      <c r="A1142" s="1">
        <v>42733.790972222225</v>
      </c>
      <c r="B1142" s="1">
        <v>42733.801388888889</v>
      </c>
      <c r="C1142" t="s">
        <v>7</v>
      </c>
      <c r="D1142" t="s">
        <v>224</v>
      </c>
      <c r="E1142" t="s">
        <v>65</v>
      </c>
      <c r="F1142">
        <v>3</v>
      </c>
      <c r="G1142" t="s">
        <v>9</v>
      </c>
      <c r="J1142">
        <f>HOUR(Table1[[#This Row],[START_DATE]])</f>
        <v>18</v>
      </c>
      <c r="K1142" s="2">
        <f t="shared" si="34"/>
        <v>42733</v>
      </c>
      <c r="L1142" t="str">
        <f t="shared" si="35"/>
        <v>Thursday</v>
      </c>
    </row>
    <row r="1143" spans="1:12" x14ac:dyDescent="0.35">
      <c r="A1143" s="1">
        <v>42733.826388888891</v>
      </c>
      <c r="B1143" s="1">
        <v>42733.840277777781</v>
      </c>
      <c r="C1143" t="s">
        <v>7</v>
      </c>
      <c r="D1143" t="s">
        <v>65</v>
      </c>
      <c r="E1143" t="s">
        <v>224</v>
      </c>
      <c r="F1143">
        <v>4.0999999999999996</v>
      </c>
      <c r="G1143" t="s">
        <v>13</v>
      </c>
      <c r="J1143">
        <f>HOUR(Table1[[#This Row],[START_DATE]])</f>
        <v>19</v>
      </c>
      <c r="K1143" s="2">
        <f t="shared" si="34"/>
        <v>42733</v>
      </c>
      <c r="L1143" t="str">
        <f t="shared" si="35"/>
        <v>Thursday</v>
      </c>
    </row>
    <row r="1144" spans="1:12" x14ac:dyDescent="0.35">
      <c r="A1144" s="1">
        <v>42733.84375</v>
      </c>
      <c r="B1144" s="1">
        <v>42733.864583333336</v>
      </c>
      <c r="C1144" t="s">
        <v>7</v>
      </c>
      <c r="D1144" t="s">
        <v>224</v>
      </c>
      <c r="E1144" t="s">
        <v>224</v>
      </c>
      <c r="F1144">
        <v>7.2</v>
      </c>
      <c r="G1144" t="s">
        <v>11</v>
      </c>
      <c r="J1144">
        <f>HOUR(Table1[[#This Row],[START_DATE]])</f>
        <v>20</v>
      </c>
      <c r="K1144" s="2">
        <f t="shared" si="34"/>
        <v>42733</v>
      </c>
      <c r="L1144" t="str">
        <f t="shared" si="35"/>
        <v>Thursday</v>
      </c>
    </row>
    <row r="1145" spans="1:12" x14ac:dyDescent="0.35">
      <c r="A1145" s="1">
        <v>42733.870138888888</v>
      </c>
      <c r="B1145" s="1">
        <v>42733.904166666667</v>
      </c>
      <c r="C1145" t="s">
        <v>7</v>
      </c>
      <c r="D1145" t="s">
        <v>224</v>
      </c>
      <c r="E1145" t="s">
        <v>65</v>
      </c>
      <c r="F1145">
        <v>6.4</v>
      </c>
      <c r="J1145">
        <f>HOUR(Table1[[#This Row],[START_DATE]])</f>
        <v>20</v>
      </c>
      <c r="K1145" s="2">
        <f t="shared" si="34"/>
        <v>42733</v>
      </c>
      <c r="L1145" t="str">
        <f t="shared" si="35"/>
        <v>Thursday</v>
      </c>
    </row>
    <row r="1146" spans="1:12" x14ac:dyDescent="0.35">
      <c r="A1146" s="1">
        <v>42733.968055555553</v>
      </c>
      <c r="B1146" s="1">
        <v>42733.990972222222</v>
      </c>
      <c r="C1146" t="s">
        <v>7</v>
      </c>
      <c r="D1146" t="s">
        <v>65</v>
      </c>
      <c r="E1146" t="s">
        <v>224</v>
      </c>
      <c r="F1146">
        <v>12.9</v>
      </c>
      <c r="G1146" t="s">
        <v>11</v>
      </c>
      <c r="J1146">
        <f>HOUR(Table1[[#This Row],[START_DATE]])</f>
        <v>23</v>
      </c>
      <c r="K1146" s="2">
        <f t="shared" si="34"/>
        <v>42733</v>
      </c>
      <c r="L1146" t="str">
        <f t="shared" si="35"/>
        <v>Thursday</v>
      </c>
    </row>
    <row r="1147" spans="1:12" x14ac:dyDescent="0.35">
      <c r="A1147" s="1">
        <v>42734.427083333336</v>
      </c>
      <c r="B1147" s="1">
        <v>42734.439583333333</v>
      </c>
      <c r="C1147" t="s">
        <v>7</v>
      </c>
      <c r="D1147" t="s">
        <v>224</v>
      </c>
      <c r="E1147" t="s">
        <v>224</v>
      </c>
      <c r="F1147">
        <v>2.8</v>
      </c>
      <c r="G1147" t="s">
        <v>10</v>
      </c>
      <c r="J1147">
        <f>HOUR(Table1[[#This Row],[START_DATE]])</f>
        <v>10</v>
      </c>
      <c r="K1147" s="2">
        <f t="shared" si="34"/>
        <v>42734</v>
      </c>
      <c r="L1147" t="str">
        <f t="shared" si="35"/>
        <v>Friday</v>
      </c>
    </row>
    <row r="1148" spans="1:12" x14ac:dyDescent="0.35">
      <c r="A1148" s="1">
        <v>42734.479861111111</v>
      </c>
      <c r="B1148" s="1">
        <v>42734.49722222222</v>
      </c>
      <c r="C1148" t="s">
        <v>7</v>
      </c>
      <c r="D1148" t="s">
        <v>224</v>
      </c>
      <c r="E1148" t="s">
        <v>224</v>
      </c>
      <c r="F1148">
        <v>2.9</v>
      </c>
      <c r="G1148" t="s">
        <v>10</v>
      </c>
      <c r="J1148">
        <f>HOUR(Table1[[#This Row],[START_DATE]])</f>
        <v>11</v>
      </c>
      <c r="K1148" s="2">
        <f t="shared" si="34"/>
        <v>42734</v>
      </c>
      <c r="L1148" t="str">
        <f t="shared" si="35"/>
        <v>Friday</v>
      </c>
    </row>
    <row r="1149" spans="1:12" x14ac:dyDescent="0.35">
      <c r="A1149" s="1">
        <v>42734.65347222222</v>
      </c>
      <c r="B1149" s="1">
        <v>42734.668749999997</v>
      </c>
      <c r="C1149" t="s">
        <v>7</v>
      </c>
      <c r="D1149" t="s">
        <v>224</v>
      </c>
      <c r="E1149" t="s">
        <v>224</v>
      </c>
      <c r="F1149">
        <v>4.5999999999999996</v>
      </c>
      <c r="G1149" t="s">
        <v>10</v>
      </c>
      <c r="J1149">
        <f>HOUR(Table1[[#This Row],[START_DATE]])</f>
        <v>15</v>
      </c>
      <c r="K1149" s="2">
        <f t="shared" si="34"/>
        <v>42734</v>
      </c>
      <c r="L1149" t="str">
        <f t="shared" si="35"/>
        <v>Friday</v>
      </c>
    </row>
    <row r="1150" spans="1:12" x14ac:dyDescent="0.35">
      <c r="A1150" s="1">
        <v>42734.697916666664</v>
      </c>
      <c r="B1150" s="1">
        <v>42734.713888888888</v>
      </c>
      <c r="C1150" t="s">
        <v>7</v>
      </c>
      <c r="D1150" t="s">
        <v>224</v>
      </c>
      <c r="E1150" t="s">
        <v>224</v>
      </c>
      <c r="F1150">
        <v>4.5999999999999996</v>
      </c>
      <c r="G1150" t="s">
        <v>11</v>
      </c>
      <c r="J1150">
        <f>HOUR(Table1[[#This Row],[START_DATE]])</f>
        <v>16</v>
      </c>
      <c r="K1150" s="2">
        <f t="shared" si="34"/>
        <v>42734</v>
      </c>
      <c r="L1150" t="str">
        <f t="shared" si="35"/>
        <v>Friday</v>
      </c>
    </row>
    <row r="1151" spans="1:12" x14ac:dyDescent="0.35">
      <c r="A1151" s="1">
        <v>42734.962500000001</v>
      </c>
      <c r="B1151" s="1">
        <v>42734.965277777781</v>
      </c>
      <c r="C1151" t="s">
        <v>7</v>
      </c>
      <c r="D1151" t="s">
        <v>224</v>
      </c>
      <c r="E1151" t="s">
        <v>224</v>
      </c>
      <c r="F1151">
        <v>0.8</v>
      </c>
      <c r="G1151" t="s">
        <v>13</v>
      </c>
      <c r="J1151">
        <f>HOUR(Table1[[#This Row],[START_DATE]])</f>
        <v>23</v>
      </c>
      <c r="K1151" s="2">
        <f t="shared" si="34"/>
        <v>42734</v>
      </c>
      <c r="L1151" t="str">
        <f t="shared" si="35"/>
        <v>Friday</v>
      </c>
    </row>
    <row r="1152" spans="1:12" x14ac:dyDescent="0.35">
      <c r="A1152" s="1">
        <v>42735.046527777777</v>
      </c>
      <c r="B1152" s="1">
        <v>42735.051388888889</v>
      </c>
      <c r="C1152" t="s">
        <v>7</v>
      </c>
      <c r="D1152" t="s">
        <v>224</v>
      </c>
      <c r="E1152" t="s">
        <v>224</v>
      </c>
      <c r="F1152">
        <v>0.7</v>
      </c>
      <c r="G1152" t="s">
        <v>11</v>
      </c>
      <c r="J1152">
        <f>HOUR(Table1[[#This Row],[START_DATE]])</f>
        <v>1</v>
      </c>
      <c r="K1152" s="2">
        <f t="shared" si="34"/>
        <v>42735</v>
      </c>
      <c r="L1152" t="str">
        <f t="shared" si="35"/>
        <v>Saturday</v>
      </c>
    </row>
    <row r="1153" spans="1:12" x14ac:dyDescent="0.35">
      <c r="A1153" s="1">
        <v>42735.558333333334</v>
      </c>
      <c r="B1153" s="1">
        <v>42735.570833333331</v>
      </c>
      <c r="C1153" t="s">
        <v>7</v>
      </c>
      <c r="D1153" t="s">
        <v>224</v>
      </c>
      <c r="E1153" t="s">
        <v>65</v>
      </c>
      <c r="F1153">
        <v>3.9</v>
      </c>
      <c r="G1153" t="s">
        <v>24</v>
      </c>
      <c r="J1153">
        <f>HOUR(Table1[[#This Row],[START_DATE]])</f>
        <v>13</v>
      </c>
      <c r="K1153" s="2">
        <f t="shared" si="34"/>
        <v>42735</v>
      </c>
      <c r="L1153" t="str">
        <f t="shared" si="35"/>
        <v>Saturday</v>
      </c>
    </row>
    <row r="1154" spans="1:12" x14ac:dyDescent="0.35">
      <c r="A1154" s="1">
        <v>42735.627083333333</v>
      </c>
      <c r="B1154" s="1">
        <v>42735.651388888888</v>
      </c>
      <c r="C1154" t="s">
        <v>7</v>
      </c>
      <c r="D1154" t="s">
        <v>65</v>
      </c>
      <c r="E1154" t="s">
        <v>65</v>
      </c>
      <c r="F1154">
        <v>16.2</v>
      </c>
      <c r="G1154" t="s">
        <v>11</v>
      </c>
      <c r="J1154">
        <f>HOUR(Table1[[#This Row],[START_DATE]])</f>
        <v>15</v>
      </c>
      <c r="K1154" s="2">
        <f t="shared" si="34"/>
        <v>42735</v>
      </c>
      <c r="L1154" t="str">
        <f t="shared" si="35"/>
        <v>Saturday</v>
      </c>
    </row>
    <row r="1155" spans="1:12" x14ac:dyDescent="0.35">
      <c r="A1155" s="1">
        <v>42735.897222222222</v>
      </c>
      <c r="B1155" s="1">
        <v>42735.909722222219</v>
      </c>
      <c r="C1155" t="s">
        <v>7</v>
      </c>
      <c r="D1155" t="s">
        <v>225</v>
      </c>
      <c r="E1155" t="s">
        <v>226</v>
      </c>
      <c r="F1155">
        <v>6.4</v>
      </c>
      <c r="G1155" t="s">
        <v>24</v>
      </c>
      <c r="J1155">
        <f>HOUR(Table1[[#This Row],[START_DATE]])</f>
        <v>21</v>
      </c>
      <c r="K1155" s="2">
        <f t="shared" ref="K1155:K1156" si="36">DATE(YEAR(A1155), MONTH(A1155), DAY(A1155))</f>
        <v>42735</v>
      </c>
      <c r="L1155" t="str">
        <f t="shared" ref="L1155:L1156" si="37">TEXT(A1155,"dddd")</f>
        <v>Saturday</v>
      </c>
    </row>
    <row r="1156" spans="1:12" x14ac:dyDescent="0.35">
      <c r="A1156" s="1">
        <v>42735.922222222223</v>
      </c>
      <c r="B1156" s="1">
        <v>42735.993750000001</v>
      </c>
      <c r="C1156" t="s">
        <v>7</v>
      </c>
      <c r="D1156" t="s">
        <v>226</v>
      </c>
      <c r="E1156" t="s">
        <v>227</v>
      </c>
      <c r="F1156">
        <v>48.2</v>
      </c>
      <c r="G1156" t="s">
        <v>24</v>
      </c>
      <c r="J1156">
        <f>HOUR(Table1[[#This Row],[START_DATE]])</f>
        <v>22</v>
      </c>
      <c r="K1156" s="2">
        <f t="shared" si="36"/>
        <v>42735</v>
      </c>
      <c r="L1156" t="str">
        <f t="shared" si="37"/>
        <v>Saturday</v>
      </c>
    </row>
    <row r="1157" spans="1:12" x14ac:dyDescent="0.35">
      <c r="A1157" t="s">
        <v>228</v>
      </c>
      <c r="F1157">
        <v>12204.7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Peak Hours</vt:lpstr>
      <vt:lpstr>Purpose&amp;Miles</vt:lpstr>
      <vt:lpstr>UberDataset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Shrestha</dc:creator>
  <cp:lastModifiedBy>Rajan Shrestha</cp:lastModifiedBy>
  <dcterms:created xsi:type="dcterms:W3CDTF">2025-12-30T09:21:31Z</dcterms:created>
  <dcterms:modified xsi:type="dcterms:W3CDTF">2025-12-30T10:01:31Z</dcterms:modified>
</cp:coreProperties>
</file>